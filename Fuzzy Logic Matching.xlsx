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arrowstreamanalytics-my.sharepoint.com/personal/andrew_arrowstream_co_uk/Documents/Documents/GitHub/python-in-excel/"/>
    </mc:Choice>
  </mc:AlternateContent>
  <xr:revisionPtr revIDLastSave="0" documentId="8_{05389922-67C4-4516-A858-2E7F0AE3E47C}" xr6:coauthVersionLast="47" xr6:coauthVersionMax="47" xr10:uidLastSave="{00000000-0000-0000-0000-000000000000}"/>
  <bookViews>
    <workbookView xWindow="-120" yWindow="-120" windowWidth="29040" windowHeight="15720" xr2:uid="{1804D7F8-2597-4056-BACF-0A46C3F7E676}"/>
  </bookViews>
  <sheets>
    <sheet name="Fuzzy Logic" sheetId="1" r:id="rId1"/>
  </sheets>
  <definedNames>
    <definedName name="threshold">'Fuzzy Logic'!$C$34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 l="1" a="1"/>
  <c r="C10" i="1" l="1"/>
  <c r="C11" i="1" a="1"/>
  <c r="C11" i="1" l="1"/>
  <c r="C12" i="1" a="1"/>
  <c r="C12" i="1" l="1"/>
  <c r="C13" i="1" a="1"/>
  <c r="C13" i="1" l="1"/>
  <c r="B38" i="1" a="1"/>
  <c r="B38"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6"/>
        </ext>
      </extLst>
    </bk>
  </futureMetadata>
  <cellMetadata count="1">
    <bk>
      <rc t="1" v="0"/>
    </bk>
  </cellMetadata>
  <valueMetadata count="5">
    <bk>
      <rc t="2" v="0"/>
    </bk>
    <bk>
      <rc t="2" v="1"/>
    </bk>
    <bk>
      <rc t="2" v="2"/>
    </bk>
    <bk>
      <rc t="2" v="3"/>
    </bk>
    <bk>
      <rc t="2" v="4"/>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import pandas as pd
from thefuzz import process
msg = 'import pandas and thefuzz'</code>
    </pythonScript>
    <pythonScript>
      <code xml:space="preserve">   
def fuzzy_top_matches(name, reference_df, threshold=70):
    name_list = reference_df['Lookup'].tolist()
    results = process.extract(name, name_list, limit=2)
    def get_match_details(result):
        if result and result[1] &gt;= threshold:
            matched_name = result[0]
            matched_id = reference_df.loc[reference_df['Lookup'] == matched_name, 'id'].values[0]
            return matched_id, matched_name, result[1]
        return "", "", ""
    best_id, best_name, best_score = get_match_details(results[0]) if len(results) &gt; 0 else ("", "", "")
    second_id, second_name, second_score = get_match_details(results[1]) if len(results) &gt; 1 else ("", "", "")
    return pd.Series([best_id, best_name, best_score, second_id, second_name, second_score])
msg = 'create fuzzy logic functions'
</code>
    </pythonScript>
    <pythonScript>
      <code xml:space="preserve">codeframe = xl(%P2%, headers=True)
data =xl(%P3%, headers=True)
threshold = xl(%P4%)
msg = 'Declare variables and dataframes'
</code>
    </pythonScript>
    <pythonScript>
      <code xml:space="preserve">data[['Best match id', 'Best match', 'Score', 'Second match id', 'Second Match', 'Second Score']] = data['q1'].apply(lambda x:fuzzy_top_matches(x, codeframe, threshold = threshold))
data = data.fillna("")
data
</code>
    </pythonScript>
    <pythonScript>
      <code xml:space="preserve">data
</code>
    </pythonScript>
  </pythonScripts>
</python>
</file>

<file path=xl/sharedStrings.xml><?xml version="1.0" encoding="utf-8"?>
<sst xmlns="http://schemas.openxmlformats.org/spreadsheetml/2006/main" count="27" uniqueCount="26">
  <si>
    <t>Fuzzy logic matching using Python for Excel</t>
  </si>
  <si>
    <t>Automating Text Response Coding with Fuzzy Matching</t>
  </si>
  <si>
    <t>In survey research, open-ended questions often yield a wide variety of textual responses. While these are rich in insight, they require time-consuming cleaning and manual coding to analyse consistently — especially when respondents use different spellings, abbreviations, or formats to describe the same concept.
Using fuzzy matching algorithms, we can automatically compare each free-text response to a predefined reference list of known values (e.g., names, categories, standard answers). This process identifies the closest matches based on text similarity, even when the input contains typos or alternate phrasings.
By returning not only the best match but also the second-best, and their similarity scores, we create a semi-automated pipeline:
Responses that match confidently (above a threshold) can be automatically coded.
Responses with lower or ambiguous scores can be flagged for manual review, reducing workload while maintaining accuracy.
This approach supports transparent, reproducible data processing and allows researchers to focus their judgment only where it’s really needed. Over time, expanding the reference set and tuning thresholds can make the coding process even more efficient.</t>
  </si>
  <si>
    <t>Python code</t>
  </si>
  <si>
    <t>import python libraries</t>
  </si>
  <si>
    <t>create function</t>
  </si>
  <si>
    <t>declare dataframes</t>
  </si>
  <si>
    <t>create the output table</t>
  </si>
  <si>
    <t>Codeframe</t>
  </si>
  <si>
    <t xml:space="preserve">The Codeframe is an agreed set of codes to assign </t>
  </si>
  <si>
    <t>id</t>
  </si>
  <si>
    <t>Lookup</t>
  </si>
  <si>
    <t>Andrew Smith</t>
  </si>
  <si>
    <t>Beatrice Jones</t>
  </si>
  <si>
    <t>Charlotte King</t>
  </si>
  <si>
    <t>Daniel Brown</t>
  </si>
  <si>
    <t>Andrew Smithson</t>
  </si>
  <si>
    <t>Example Survey Data</t>
  </si>
  <si>
    <t>Survey data is messy and users may put in poor quality text</t>
  </si>
  <si>
    <t>q1</t>
  </si>
  <si>
    <t>Andy Smiths</t>
  </si>
  <si>
    <t>Beatrice Jonz</t>
  </si>
  <si>
    <t>charlote kng</t>
  </si>
  <si>
    <t>D Brown</t>
  </si>
  <si>
    <t xml:space="preserve">Set Threshold </t>
  </si>
  <si>
    <t>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</si>
</sst>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1"/>
      <color theme="1"/>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3F3F76"/>
      <name val="Aptos Narrow"/>
      <family val="2"/>
      <scheme val="minor"/>
    </font>
    <font>
      <b/>
      <sz val="11"/>
      <color theme="4" tint="-0.249977111117893"/>
      <name val="Aptos Narrow"/>
      <family val="2"/>
      <scheme val="minor"/>
    </font>
  </fonts>
  <fills count="3">
    <fill>
      <patternFill patternType="none"/>
    </fill>
    <fill>
      <patternFill patternType="gray125"/>
    </fill>
    <fill>
      <patternFill patternType="solid">
        <fgColor rgb="FFFFCC99"/>
      </patternFill>
    </fill>
  </fills>
  <borders count="8">
    <border>
      <left/>
      <right/>
      <top/>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right style="thin">
        <color theme="4"/>
      </right>
      <top/>
      <bottom/>
      <diagonal/>
    </border>
    <border>
      <left/>
      <right style="thin">
        <color theme="4"/>
      </right>
      <top style="thin">
        <color theme="4"/>
      </top>
      <bottom style="thin">
        <color theme="4"/>
      </bottom>
      <diagonal/>
    </border>
    <border>
      <left/>
      <right/>
      <top style="thin">
        <color theme="4"/>
      </top>
      <bottom style="thin">
        <color theme="4"/>
      </bottom>
      <diagonal/>
    </border>
    <border>
      <left style="thin">
        <color theme="4"/>
      </left>
      <right style="thin">
        <color theme="4"/>
      </right>
      <top/>
      <bottom/>
      <diagonal/>
    </border>
  </borders>
  <cellStyleXfs count="6">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0" applyNumberFormat="0" applyFill="0" applyBorder="0" applyAlignment="0" applyProtection="0"/>
    <xf numFmtId="0" fontId="5" fillId="2" borderId="3" applyNumberFormat="0" applyAlignment="0" applyProtection="0"/>
    <xf numFmtId="0" fontId="1" fillId="0" borderId="0"/>
  </cellStyleXfs>
  <cellXfs count="14">
    <xf numFmtId="0" fontId="0" fillId="0" borderId="0" xfId="0"/>
    <xf numFmtId="0" fontId="1" fillId="0" borderId="0" xfId="5"/>
    <xf numFmtId="0" fontId="1" fillId="0" borderId="0" xfId="5" applyAlignment="1">
      <alignment horizontal="left"/>
    </xf>
    <xf numFmtId="0" fontId="2" fillId="0" borderId="1" xfId="1"/>
    <xf numFmtId="0" fontId="3" fillId="0" borderId="2" xfId="2"/>
    <xf numFmtId="0" fontId="1" fillId="0" borderId="0" xfId="5" applyAlignment="1">
      <alignment horizontal="left" wrapText="1"/>
    </xf>
    <xf numFmtId="0" fontId="1" fillId="0" borderId="0" xfId="5" applyAlignment="1">
      <alignment wrapText="1"/>
    </xf>
    <xf numFmtId="0" fontId="4" fillId="0" borderId="0" xfId="3"/>
    <xf numFmtId="0" fontId="5" fillId="2" borderId="3" xfId="4"/>
    <xf numFmtId="0" fontId="1" fillId="0" borderId="4" xfId="5" applyBorder="1"/>
    <xf numFmtId="0" fontId="6" fillId="0" borderId="5" xfId="5" applyFont="1" applyBorder="1"/>
    <xf numFmtId="0" fontId="6" fillId="0" borderId="5" xfId="5" applyFont="1" applyBorder="1" applyAlignment="1">
      <alignment wrapText="1"/>
    </xf>
    <xf numFmtId="0" fontId="6" fillId="0" borderId="6" xfId="5" applyFont="1" applyBorder="1" applyAlignment="1">
      <alignment wrapText="1"/>
    </xf>
    <xf numFmtId="0" fontId="1" fillId="0" borderId="7" xfId="5" applyBorder="1"/>
  </cellXfs>
  <cellStyles count="6">
    <cellStyle name="Heading 1" xfId="1" builtinId="16"/>
    <cellStyle name="Heading 2" xfId="2" builtinId="17"/>
    <cellStyle name="Heading 4" xfId="3" builtinId="19"/>
    <cellStyle name="Input" xfId="4" builtinId="20"/>
    <cellStyle name="Normal" xfId="0" builtinId="0"/>
    <cellStyle name="Normal 2" xfId="5" xr:uid="{848BA7DE-5102-40EC-B9D5-FC078416BA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alcChain" Target="calcChain.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RichValueTypes" Target="richData/rdRichValueTyp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microsoft.com/office/2017/06/relationships/rdSupportingPropertyBag" Target="richData/rdsupportingpropertybag.xml"/><Relationship Id="rId5" Type="http://schemas.openxmlformats.org/officeDocument/2006/relationships/sheetMetadata" Target="metadata.xml"/><Relationship Id="rId10" Type="http://schemas.microsoft.com/office/2017/06/relationships/rdSupportingPropertyBagStructure" Target="richData/rdsupportingpropertybagstructure.xml"/><Relationship Id="rId4" Type="http://schemas.openxmlformats.org/officeDocument/2006/relationships/sharedStrings" Target="sharedStrings.xml"/><Relationship Id="rId9" Type="http://schemas.microsoft.com/office/2017/06/relationships/rdArray" Target="richData/rdarray.xml"/><Relationship Id="rId14" Type="http://schemas.microsoft.com/office/2023/09/relationships/Python" Target="python.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
  <a r="5" c="9">
    <v t="s"/>
    <v t="s">id</v>
    <v t="s">q1</v>
    <v t="s">Best match id</v>
    <v t="s">Best match</v>
    <v t="s">Score</v>
    <v t="s">Second match id</v>
    <v t="s">Second Match</v>
    <v t="s">Second Score</v>
    <v>0</v>
    <v>1</v>
    <v t="s">Andy Smiths</v>
    <v>100</v>
    <v t="s">Andrew Smith</v>
    <v>78</v>
    <v>104</v>
    <v t="s">Andrew Smithson</v>
    <v>77</v>
    <v>1</v>
    <v>2</v>
    <v t="s">Beatrice Jonz</v>
    <v>101</v>
    <v t="s">Beatrice Jones</v>
    <v>89</v>
    <v t="s"/>
    <v t="s"/>
    <v t="s"/>
    <v>2</v>
    <v>3</v>
    <v t="s">charlote kng</v>
    <v>102</v>
    <v t="s">Charlotte King</v>
    <v>92</v>
    <v t="s"/>
    <v t="s"/>
    <v t="s"/>
    <v>3</v>
    <v>4</v>
    <v t="s">D Brown</v>
    <v>103</v>
    <v t="s">Daniel Brown</v>
    <v>86</v>
    <v t="s"/>
    <v t="s"/>
    <v t="s"/>
  </a>
</arrayData>
</file>

<file path=xl/richData/rdrichvalue.xml><?xml version="1.0" encoding="utf-8"?>
<rvData xmlns="http://schemas.microsoft.com/office/spreadsheetml/2017/richdata" count="7">
  <rv s="0">
    <v>0</v>
    <v>5</v>
  </rv>
  <rv s="1">
    <fb t="s">import pandas and thefuzz</fb>
    <v>&lt;class 'str'&gt;</v>
    <v>str</v>
    <v>import pandas and thefuzz</v>
    <v>import pandas and thefuzz</v>
    <v>0</v>
  </rv>
  <rv s="1">
    <fb t="s">create fuzzy logic functions</fb>
    <v>&lt;class 'str'&gt;</v>
    <v>str</v>
    <v>create fuzzy logic functions</v>
    <v>create fuzzy logic functions</v>
    <v>0</v>
  </rv>
  <rv s="1">
    <fb t="s">Declare variables and dataframes</fb>
    <v>&lt;class 'str'&gt;</v>
    <v>str</v>
    <v>Declare variables and dataframes</v>
    <v>Declare variables and dataframes</v>
    <v>0</v>
  </rv>
  <rv s="2">
    <v>0</v>
  </rv>
  <rv s="3">
    <v>DataFrame</v>
    <v>2</v>
    <v>4</v>
  </rv>
  <rv s="4">
    <v>&lt;class 'pandas.core.frame.DataFrame'&gt;</v>
    <v>DataFrame</v>
    <v xml:space="preserve">   id             q1  Best match id      Best match  Score Second match id  \
0   1    Andy Smiths            100    Andrew Smith     78             104   
1   2  Beatrice Jonz            101  Beatrice Jones     89                   
2   3   charlote k...</v>
    <v>5</v>
    <v>0</v>
  </rv>
</rvData>
</file>

<file path=xl/richData/rdrichvaluestructure.xml><?xml version="1.0" encoding="utf-8"?>
<rvStructures xmlns="http://schemas.microsoft.com/office/spreadsheetml/2017/richdata" count="5">
  <s t="_localImage">
    <k n="_rvRel:LocalImageIdentifier" t="i"/>
    <k n="CalcOrigin" t="i"/>
  </s>
  <s t="_python">
    <k n="Python_type" t="s"/>
    <k n="Python_typeName" t="s"/>
    <k n="Python_str" t="s"/>
    <k n="basicValue" t="s"/>
    <k n="_Provider" t="spb"/>
  </s>
  <s t="_array">
    <k n="array" t="a"/>
  </s>
  <s t="_entity">
    <k n="_DisplayString" t="s"/>
    <k n="_ViewInfo" t="spb"/>
    <k n="arrayPreview" t="r"/>
  </s>
  <s t="_python">
    <k n="Python_type" t="s"/>
    <k n="Python_typeName" t="s"/>
    <k n="Python_str" t="s"/>
    <k n="preview" t="r"/>
    <k n="_Provider" t="spb"/>
  </s>
</rvStructures>
</file>

<file path=xl/richData/rdsupportingpropertybag.xml><?xml version="1.0" encoding="utf-8"?>
<supportingPropertyBags xmlns="http://schemas.microsoft.com/office/spreadsheetml/2017/richdata2">
  <spbData count="3">
    <spb s="0">
      <v>https://www.anaconda.com/excel</v>
      <v>https://res.cdn.office.net/officepysvc/prod-service/anacondalogo.png</v>
      <v>Python provided by Anaconda</v>
    </spb>
    <spb s="1">
      <v>4</v>
      <v>8</v>
      <v>DataFrame</v>
      <v>arrayPreview</v>
      <v>1</v>
    </spb>
    <spb s="2">
      <v>1</v>
    </spb>
  </spbData>
</supportingPropertyBags>
</file>

<file path=xl/richData/rdsupportingpropertybagstructure.xml><?xml version="1.0" encoding="utf-8"?>
<spbStructures xmlns="http://schemas.microsoft.com/office/spreadsheetml/2017/richdata2" count="3">
  <s>
    <k n="link" t="s"/>
    <k n="logo" t="s"/>
    <k n="name" t="s"/>
  </s>
  <s>
    <k n="drw" t="i"/>
    <k n="dcol" t="i"/>
    <k n="name" t="s"/>
    <k n="array" t="s"/>
    <k n="headers" t="b"/>
  </s>
  <s>
    <k n="ArrayCardInfo" t="spb"/>
  </s>
</spb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6DA6ED-4BD4-4130-B2FB-5B08F2D18939}" name="Table1" displayName="Table1" ref="B18:C23" totalsRowShown="0">
  <autoFilter ref="B18:C23" xr:uid="{EB780B3F-3C17-4BF6-A3B0-76EA086AE156}"/>
  <tableColumns count="2">
    <tableColumn id="2" xr3:uid="{3DAC1C6B-25AE-4441-ADBB-EB3B96AE3A30}" name="id"/>
    <tableColumn id="1" xr3:uid="{9E0884E0-1CE6-455C-8B8B-8C9F1FC7269F}" name="Lookup"/>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72A774-C44B-480F-9285-8F1E21433F4C}" name="Table2" displayName="Table2" ref="B28:C32" totalsRowShown="0">
  <autoFilter ref="B28:C32" xr:uid="{61A036A4-9177-425F-8CAB-C124262FBD0E}"/>
  <tableColumns count="2">
    <tableColumn id="1" xr3:uid="{BE97C0A9-5DF0-427A-B4AC-366C12557B83}" name="id"/>
    <tableColumn id="2" xr3:uid="{67D7DB74-6823-476A-B9DA-54A7823C0950}" name="q1"/>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F249D-E50D-4CFE-8E1A-0D8F09903D11}">
  <dimension ref="A2:I42"/>
  <sheetViews>
    <sheetView showGridLines="0" tabSelected="1" zoomScale="160" zoomScaleNormal="160" workbookViewId="0">
      <selection activeCell="C34" sqref="C34"/>
    </sheetView>
  </sheetViews>
  <sheetFormatPr defaultRowHeight="15" x14ac:dyDescent="0.25"/>
  <cols>
    <col min="1" max="1" width="1.875" style="1" customWidth="1"/>
    <col min="2" max="2" width="20.125" style="1" customWidth="1"/>
    <col min="3" max="3" width="25.25" style="1" customWidth="1"/>
    <col min="4" max="4" width="6.5" style="1" customWidth="1"/>
    <col min="5" max="5" width="13.25" style="1" customWidth="1"/>
    <col min="6" max="6" width="6" style="1" customWidth="1"/>
    <col min="7" max="7" width="9.375" style="1" customWidth="1"/>
    <col min="8" max="8" width="13.5" style="1" customWidth="1"/>
    <col min="9" max="9" width="6.5" style="1" customWidth="1"/>
    <col min="10" max="16384" width="9" style="1"/>
  </cols>
  <sheetData>
    <row r="2" spans="2:9" ht="30.75" customHeight="1" x14ac:dyDescent="0.25">
      <c r="B2" s="2" t="e" vm="1">
        <v>#VALUE!</v>
      </c>
      <c r="C2" s="2"/>
      <c r="D2" s="2"/>
      <c r="E2" s="2"/>
      <c r="F2" s="2"/>
      <c r="G2" s="2"/>
      <c r="H2" s="2"/>
      <c r="I2" s="2"/>
    </row>
    <row r="4" spans="2:9" ht="20.25" thickBot="1" x14ac:dyDescent="0.35">
      <c r="B4" s="3" t="s">
        <v>0</v>
      </c>
      <c r="C4" s="3"/>
    </row>
    <row r="5" spans="2:9" ht="14.25" customHeight="1" thickTop="1" x14ac:dyDescent="0.25"/>
    <row r="6" spans="2:9" ht="18" thickBot="1" x14ac:dyDescent="0.35">
      <c r="B6" s="4" t="s">
        <v>1</v>
      </c>
      <c r="C6" s="4"/>
      <c r="D6" s="4"/>
    </row>
    <row r="7" spans="2:9" ht="240" customHeight="1" thickTop="1" x14ac:dyDescent="0.25">
      <c r="B7" s="5" t="s">
        <v>2</v>
      </c>
      <c r="C7" s="5"/>
      <c r="D7" s="5"/>
      <c r="E7" s="5"/>
      <c r="F7" s="5"/>
      <c r="G7" s="5"/>
      <c r="H7" s="5"/>
      <c r="I7" s="5"/>
    </row>
    <row r="9" spans="2:9" ht="18" thickBot="1" x14ac:dyDescent="0.35">
      <c r="B9" s="4" t="s">
        <v>3</v>
      </c>
    </row>
    <row r="10" spans="2:9" ht="15.75" thickTop="1" x14ac:dyDescent="0.25">
      <c r="B10" s="1" t="s">
        <v>4</v>
      </c>
      <c r="C10" s="6" t="str" cm="1" vm="2">
        <f t="array" ref="C10">_xlfn._xlws.PY(0,1)</f>
        <v>import pandas and thefuzz</v>
      </c>
    </row>
    <row r="11" spans="2:9" x14ac:dyDescent="0.25">
      <c r="B11" s="1" t="s">
        <v>5</v>
      </c>
      <c r="C11" s="1" t="str" cm="1" vm="3">
        <f t="array" ref="C11">_xlfn._xlws.PY(1,1)</f>
        <v>create fuzzy logic functions</v>
      </c>
    </row>
    <row r="12" spans="2:9" x14ac:dyDescent="0.25">
      <c r="B12" s="1" t="s">
        <v>6</v>
      </c>
      <c r="C12" s="1" t="str" cm="1" vm="4">
        <f t="array" ref="C12">_xlfn._xlws.PY(2,1,Table1[#All],Table2[#All],threshold)</f>
        <v>Declare variables and dataframes</v>
      </c>
    </row>
    <row r="13" spans="2:9" x14ac:dyDescent="0.25">
      <c r="B13" s="1" t="s">
        <v>7</v>
      </c>
      <c r="C13" s="1" t="e" cm="1" vm="5">
        <f t="array" ref="C13">_xlfn._xlws.PY(3,1)</f>
        <v>#VALUE!</v>
      </c>
    </row>
    <row r="15" spans="2:9" ht="18" thickBot="1" x14ac:dyDescent="0.35">
      <c r="B15" s="4" t="s">
        <v>8</v>
      </c>
    </row>
    <row r="16" spans="2:9" ht="15.75" thickTop="1" x14ac:dyDescent="0.25">
      <c r="B16" s="1" t="s">
        <v>9</v>
      </c>
    </row>
    <row r="18" spans="2:3" x14ac:dyDescent="0.25">
      <c r="B18" s="1" t="s">
        <v>10</v>
      </c>
      <c r="C18" s="1" t="s">
        <v>11</v>
      </c>
    </row>
    <row r="19" spans="2:3" x14ac:dyDescent="0.25">
      <c r="B19" s="6">
        <v>100</v>
      </c>
      <c r="C19" s="1" t="s">
        <v>12</v>
      </c>
    </row>
    <row r="20" spans="2:3" x14ac:dyDescent="0.25">
      <c r="B20" s="1">
        <v>101</v>
      </c>
      <c r="C20" s="1" t="s">
        <v>13</v>
      </c>
    </row>
    <row r="21" spans="2:3" x14ac:dyDescent="0.25">
      <c r="B21" s="1">
        <v>102</v>
      </c>
      <c r="C21" s="1" t="s">
        <v>14</v>
      </c>
    </row>
    <row r="22" spans="2:3" x14ac:dyDescent="0.25">
      <c r="B22" s="1">
        <v>103</v>
      </c>
      <c r="C22" s="1" t="s">
        <v>15</v>
      </c>
    </row>
    <row r="23" spans="2:3" x14ac:dyDescent="0.25">
      <c r="B23" s="1">
        <v>104</v>
      </c>
      <c r="C23" s="1" t="s">
        <v>16</v>
      </c>
    </row>
    <row r="25" spans="2:3" ht="18" thickBot="1" x14ac:dyDescent="0.35">
      <c r="B25" s="4" t="s">
        <v>17</v>
      </c>
    </row>
    <row r="26" spans="2:3" ht="15.75" thickTop="1" x14ac:dyDescent="0.25">
      <c r="B26" s="1" t="s">
        <v>18</v>
      </c>
    </row>
    <row r="28" spans="2:3" x14ac:dyDescent="0.25">
      <c r="B28" s="1" t="s">
        <v>10</v>
      </c>
      <c r="C28" s="1" t="s">
        <v>19</v>
      </c>
    </row>
    <row r="29" spans="2:3" x14ac:dyDescent="0.25">
      <c r="B29" s="1">
        <v>1</v>
      </c>
      <c r="C29" s="1" t="s">
        <v>20</v>
      </c>
    </row>
    <row r="30" spans="2:3" x14ac:dyDescent="0.25">
      <c r="B30" s="1">
        <v>2</v>
      </c>
      <c r="C30" s="1" t="s">
        <v>21</v>
      </c>
    </row>
    <row r="31" spans="2:3" x14ac:dyDescent="0.25">
      <c r="B31" s="1">
        <v>3</v>
      </c>
      <c r="C31" s="1" t="s">
        <v>22</v>
      </c>
    </row>
    <row r="32" spans="2:3" x14ac:dyDescent="0.25">
      <c r="B32" s="1">
        <v>4</v>
      </c>
      <c r="C32" s="1" t="s">
        <v>23</v>
      </c>
    </row>
    <row r="34" spans="1:9" x14ac:dyDescent="0.25">
      <c r="B34" s="7" t="s">
        <v>24</v>
      </c>
      <c r="C34" s="8">
        <v>70</v>
      </c>
    </row>
    <row r="35" spans="1:9" customFormat="1" ht="15.75" x14ac:dyDescent="0.25"/>
    <row r="36" spans="1:9" customFormat="1" ht="18" thickBot="1" x14ac:dyDescent="0.35">
      <c r="B36" s="4" t="s">
        <v>25</v>
      </c>
    </row>
    <row r="37" spans="1:9" ht="15.75" thickTop="1" x14ac:dyDescent="0.25"/>
    <row r="38" spans="1:9" x14ac:dyDescent="0.25">
      <c r="A38" s="9"/>
      <c r="B38" s="10" t="str" cm="1">
        <f t="array" ref="B38:I42">_xlfn._xlws.PY(4,0)</f>
        <v>id</v>
      </c>
      <c r="C38" s="10" t="str">
        <v>q1</v>
      </c>
      <c r="D38" s="11" t="str">
        <v>Best match id</v>
      </c>
      <c r="E38" s="10" t="str">
        <v>Best match</v>
      </c>
      <c r="F38" s="10" t="str">
        <v>Score</v>
      </c>
      <c r="G38" s="11" t="str">
        <v>Second match id</v>
      </c>
      <c r="H38" s="10" t="str">
        <v>Second Match</v>
      </c>
      <c r="I38" s="12" t="str">
        <v>Second Score</v>
      </c>
    </row>
    <row r="39" spans="1:9" x14ac:dyDescent="0.25">
      <c r="A39" s="9"/>
      <c r="B39" s="9">
        <v>1</v>
      </c>
      <c r="C39" s="9" t="str">
        <v>Andy Smiths</v>
      </c>
      <c r="D39" s="9">
        <v>100</v>
      </c>
      <c r="E39" s="9" t="str">
        <v>Andrew Smith</v>
      </c>
      <c r="F39" s="9">
        <v>78</v>
      </c>
      <c r="G39" s="9">
        <v>104</v>
      </c>
      <c r="H39" s="9" t="str">
        <v>Andrew Smithson</v>
      </c>
      <c r="I39" s="1">
        <v>77</v>
      </c>
    </row>
    <row r="40" spans="1:9" x14ac:dyDescent="0.25">
      <c r="A40" s="9"/>
      <c r="B40" s="9">
        <v>2</v>
      </c>
      <c r="C40" s="9" t="str">
        <v>Beatrice Jonz</v>
      </c>
      <c r="D40" s="9">
        <v>101</v>
      </c>
      <c r="E40" s="9" t="str">
        <v>Beatrice Jones</v>
      </c>
      <c r="F40" s="9">
        <v>89</v>
      </c>
      <c r="G40" s="9" t="str">
        <v/>
      </c>
      <c r="H40" s="9" t="str">
        <v/>
      </c>
      <c r="I40" s="1" t="str">
        <v/>
      </c>
    </row>
    <row r="41" spans="1:9" x14ac:dyDescent="0.25">
      <c r="A41" s="9"/>
      <c r="B41" s="9">
        <v>3</v>
      </c>
      <c r="C41" s="9" t="str">
        <v>charlote kng</v>
      </c>
      <c r="D41" s="9">
        <v>102</v>
      </c>
      <c r="E41" s="9" t="str">
        <v>Charlotte King</v>
      </c>
      <c r="F41" s="9">
        <v>92</v>
      </c>
      <c r="G41" s="9" t="str">
        <v/>
      </c>
      <c r="H41" s="9" t="str">
        <v/>
      </c>
      <c r="I41" s="1" t="str">
        <v/>
      </c>
    </row>
    <row r="42" spans="1:9" x14ac:dyDescent="0.25">
      <c r="B42" s="13">
        <v>4</v>
      </c>
      <c r="C42" s="9" t="str">
        <v>D Brown</v>
      </c>
      <c r="D42" s="9">
        <v>103</v>
      </c>
      <c r="E42" s="9" t="str">
        <v>Daniel Brown</v>
      </c>
      <c r="F42" s="9">
        <v>86</v>
      </c>
      <c r="G42" s="9" t="str">
        <v/>
      </c>
      <c r="H42" s="9" t="str">
        <v/>
      </c>
      <c r="I42" s="1" t="str">
        <v/>
      </c>
    </row>
  </sheetData>
  <mergeCells count="2">
    <mergeCell ref="B2:I2"/>
    <mergeCell ref="B7:I7"/>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Fuzzy Logic</vt:lpstr>
      <vt:lpstr>threshold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Le Breuilly</dc:creator>
  <cp:lastModifiedBy>Andrew Le Breuilly</cp:lastModifiedBy>
  <dcterms:created xsi:type="dcterms:W3CDTF">2025-07-09T14:00:58Z</dcterms:created>
  <dcterms:modified xsi:type="dcterms:W3CDTF">2025-07-09T14:02:23Z</dcterms:modified>
</cp:coreProperties>
</file>
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streamanalytics-my.sharepoint.com/personal/andrew_arrowstream_co_uk/Documents/Documents/GitHub/python-in-excel/"/>
    </mc:Choice>
  </mc:AlternateContent>
  <xr:revisionPtr revIDLastSave="357" documentId="8_{3543DADC-8F6D-4E51-B45A-13A5483A1225}" xr6:coauthVersionLast="47" xr6:coauthVersionMax="47" xr10:uidLastSave="{B4C6E6FA-7C81-4F9D-B779-5124208BFC0F}"/>
  <bookViews>
    <workbookView xWindow="-120" yWindow="-120" windowWidth="29040" windowHeight="15720" xr2:uid="{D87C019A-C93F-4E02-8108-BDEB3A40CE94}"/>
  </bookViews>
  <sheets>
    <sheet name="Weighting" sheetId="1" r:id="rId1"/>
  </sheets>
  <externalReferences>
    <externalReference r:id="rId2"/>
  </externalReferences>
  <definedNames>
    <definedName name="threshold">'[1]Fuzzy Logic'!$C$34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S17" i="1" s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S13" i="1" l="1"/>
  <c r="S14" i="1"/>
  <c r="S16" i="1"/>
  <c r="S18" i="1"/>
  <c r="L11" i="1" l="1" a="1"/>
  <c r="L11" i="1" l="1"/>
  <c r="L12" i="1" a="1"/>
  <c r="L12" i="1" l="1"/>
  <c r="L13" i="1" a="1"/>
  <c r="U24" i="1" l="1"/>
  <c r="U25" i="1"/>
  <c r="T26" i="1"/>
  <c r="T25" i="1"/>
  <c r="T24" i="1"/>
  <c r="T23" i="1"/>
  <c r="T22" i="1" a="1"/>
  <c r="T22" i="1" s="1"/>
  <c r="U22" i="1" a="1"/>
  <c r="U22" i="1" s="1"/>
  <c r="U23" i="1"/>
  <c r="U26" i="1"/>
  <c r="U17" i="1"/>
  <c r="U18" i="1"/>
  <c r="U16" i="1"/>
  <c r="U14" i="1"/>
  <c r="U13" i="1"/>
  <c r="T17" i="1"/>
  <c r="T18" i="1"/>
  <c r="T16" i="1"/>
  <c r="T14" i="1"/>
  <c r="T13" i="1"/>
  <c r="L13" i="1"/>
  <c r="U27" i="1"/>
  <c r="U28" i="1" s="1"/>
  <c r="T27" i="1" l="1"/>
  <c r="T2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df = xl(%P2%, headers=True)
gender_targets_df = xl(%P3%, headers=True)
gender_targets = gender_targets_df.set_index('Group')['Proportion'].to_dict()
age_targets_df = xl(%P4%, headers=True)
age_targets = age_targets_df.set_index('Group')['Proportion'].to_dict()</code>
    </pythonScript>
    <pythonScript>
      <code>max_iterations = xl(%P2%)
def rake_weights(df, var_targets, max_iterations=max_iterations, tolerance=1e-6):
    weights = np.ones(len(df))
    for iteration in range(max_iterations):
        old_weights = weights.copy()
        for var, targets in var_targets.items():
            # Calculate current weighted distribution
            weighted_dist = df.groupby(var).apply(lambda g: weights[g.index].sum())
            weighted_dist /= weighted_dist.sum()
            # Calculate adjustment factors
            factors = {cat: targets[cat] / weighted_dist[cat] for cat in targets}
            # Apply adjustment
            weights *= df[var].map(factors)
        # Convergence check
        if np.max(np.abs(weights - old_weights)) &lt; tolerance:
            break
    return weights</code>
    </pythonScript>
    <pythonScript>
      <code>targets = {'gender': gender_targets, 'age_group': age_targets}
df['rim_weight'] = rake_weights(df, targets)
df</code>
    </pythonScript>
  </pythonScripts>
</python>
</file>

<file path=xl/sharedStrings.xml><?xml version="1.0" encoding="utf-8"?>
<sst xmlns="http://schemas.openxmlformats.org/spreadsheetml/2006/main" count="246" uniqueCount="36">
  <si>
    <t>RIM weighting</t>
  </si>
  <si>
    <t>Survey data</t>
  </si>
  <si>
    <t>Target weights</t>
  </si>
  <si>
    <t>load data</t>
  </si>
  <si>
    <t>create function</t>
  </si>
  <si>
    <t>id</t>
  </si>
  <si>
    <t>gender</t>
  </si>
  <si>
    <t>age_group</t>
  </si>
  <si>
    <t>Group</t>
  </si>
  <si>
    <t>Proportion</t>
  </si>
  <si>
    <t>Male</t>
  </si>
  <si>
    <t>55+</t>
  </si>
  <si>
    <t>Female</t>
  </si>
  <si>
    <t>35-54</t>
  </si>
  <si>
    <t>18-34</t>
  </si>
  <si>
    <t>build dataframe</t>
  </si>
  <si>
    <t>Calculating survey weights is a common task, RIM weighting is a way of calculating the weight through iterations of gradual improvement</t>
  </si>
  <si>
    <t>Blunt weight</t>
  </si>
  <si>
    <t>Base</t>
  </si>
  <si>
    <t>Raw distribution</t>
  </si>
  <si>
    <t>blunt weight</t>
  </si>
  <si>
    <t>rim weight</t>
  </si>
  <si>
    <t>Effective sample size</t>
  </si>
  <si>
    <t>ESS = (sum of weights)² / sum of (weights²)</t>
  </si>
  <si>
    <t>Min</t>
  </si>
  <si>
    <t>Max</t>
  </si>
  <si>
    <t>Mean</t>
  </si>
  <si>
    <t>std dev</t>
  </si>
  <si>
    <t>Coefficient of variation</t>
  </si>
  <si>
    <t>Design Effect (DEFF)</t>
  </si>
  <si>
    <t>Formula: DEFF = 1 + (CV²), where CV is coefficient of variation of weights. Measures variance inflation due to weights. A DEFF &gt; 2 indicates substantial impact.</t>
  </si>
  <si>
    <t>(standard deviation / mean)</t>
  </si>
  <si>
    <t>Review of weights</t>
  </si>
  <si>
    <t>Calculate weights</t>
  </si>
  <si>
    <t>Number of iterations</t>
  </si>
  <si>
    <t>Desctiption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</si>
</sst>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4">
    <xf numFmtId="0" fontId="0" fillId="0" borderId="0" xfId="0"/>
    <xf numFmtId="0" fontId="1" fillId="0" borderId="0" xfId="5"/>
    <xf numFmtId="0" fontId="1" fillId="0" borderId="0" xfId="5" applyAlignment="1">
      <alignment horizontal="left"/>
    </xf>
    <xf numFmtId="0" fontId="2" fillId="0" borderId="1" xfId="2"/>
    <xf numFmtId="9" fontId="0" fillId="0" borderId="0" xfId="1" applyFont="1"/>
    <xf numFmtId="9" fontId="0" fillId="0" borderId="0" xfId="0" applyNumberFormat="1"/>
    <xf numFmtId="9" fontId="0" fillId="0" borderId="0" xfId="1" applyNumberFormat="1" applyFont="1"/>
    <xf numFmtId="10" fontId="0" fillId="0" borderId="0" xfId="1" applyNumberFormat="1" applyFont="1"/>
    <xf numFmtId="2" fontId="0" fillId="0" borderId="0" xfId="0" applyNumberFormat="1"/>
    <xf numFmtId="171" fontId="0" fillId="0" borderId="0" xfId="0" applyNumberFormat="1"/>
    <xf numFmtId="0" fontId="0" fillId="0" borderId="0" xfId="0" applyAlignment="1"/>
    <xf numFmtId="0" fontId="3" fillId="0" borderId="2" xfId="3"/>
    <xf numFmtId="0" fontId="3" fillId="0" borderId="0" xfId="4"/>
    <xf numFmtId="0" fontId="3" fillId="0" borderId="2" xfId="3" applyFill="1"/>
  </cellXfs>
  <cellStyles count="6">
    <cellStyle name="Heading 1" xfId="2" builtinId="16"/>
    <cellStyle name="Heading 3" xfId="3" builtinId="18"/>
    <cellStyle name="Heading 4" xfId="4" builtinId="19"/>
    <cellStyle name="Normal" xfId="0" builtinId="0"/>
    <cellStyle name="Normal 2" xfId="5" xr:uid="{B24AAC0D-3978-40F8-87DE-7A9643601AB1}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br\Downloads\Python%20in%20Excel%20-%20Examples%20(2).xlsx" TargetMode="External"/><Relationship Id="rId1" Type="http://schemas.openxmlformats.org/officeDocument/2006/relationships/externalLinkPath" Target="file:///C:\Users\alebr\Downloads\Python%20in%20Excel%20-%20Examp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dcloud"/>
      <sheetName val="Dynamic charts"/>
      <sheetName val="Radar plots"/>
      <sheetName val="Polar Histograms"/>
      <sheetName val="Fuzzy Logic"/>
      <sheetName val="Weighting"/>
      <sheetName val="Faker"/>
      <sheetName val="Synthetic data"/>
      <sheetName val="Pair plot"/>
      <sheetName val="QR Code Generator"/>
    </sheetNames>
    <sheetDataSet>
      <sheetData sheetId="0"/>
      <sheetData sheetId="1"/>
      <sheetData sheetId="2"/>
      <sheetData sheetId="3"/>
      <sheetData sheetId="4">
        <row r="34">
          <cell r="C34">
            <v>70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1">
    <v>dict</v>
    <v>dict</v>
    <v>1</v>
    <v>0.3</v>
    <v>0.3</v>
    <v>0.4</v>
  </rv>
  <rv s="2">
    <v>&lt;class 'dict'&gt;</v>
    <v>dict</v>
    <v>{'18-34': 0.3, '35-54': 0.3, '55+': 0.4}</v>
    <v>1</v>
    <v>2</v>
  </rv>
  <rv s="3">
    <fb>0</fb>
    <v>3</v>
  </rv>
  <rv s="2">
    <fb>0</fb>
    <v>&lt;class 'NoneType'&gt;</v>
    <v>NoneType</v>
    <v>None</v>
    <v>3</v>
    <v>2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entity">
    <k n="_DisplayString" t="s"/>
    <k n="_Title" t="s"/>
    <k n="_ViewInfo" t="spb"/>
    <k n="18-34"/>
    <k n="35-54"/>
    <k n="55+"/>
  </s>
  <s t="_python">
    <k n="Python_type" t="s"/>
    <k n="Python_typeName" t="s"/>
    <k n="Python_str" t="s"/>
    <k n="preview" t="r"/>
    <k n="_Provider" t="spb"/>
  </s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Arrays count="2">
    <a count="3">
      <v t="s">18-34</v>
      <v t="s">35-54</v>
      <v t="s">55+</v>
    </a>
    <a count="1">
      <v t="spb">0</v>
    </a>
  </spbArrays>
  <spbData count="4">
    <spb s="0">
      <v>0</v>
    </spb>
    <spb s="1">
      <v>1</v>
    </spb>
    <spb s="2">
      <v>https://www.anaconda.com/excel</v>
      <v>https://res.cdn.office.net/officepysvc/prod-service/anacondalogo.png</v>
      <v>Python provided by Anaconda</v>
    </spb>
    <spb s="3">
      <v>1</v>
    </spb>
  </spbData>
</supportingPropertyBags>
</file>

<file path=xl/richData/rdsupportingpropertybagstructure.xml><?xml version="1.0" encoding="utf-8"?>
<spbStructures xmlns="http://schemas.microsoft.com/office/spreadsheetml/2017/richdata2" count="4">
  <s>
    <k n="fields" t="spba"/>
  </s>
  <s>
    <k n="pods" t="spba"/>
  </s>
  <s>
    <k n="link" t="s"/>
    <k n="logo" t="s"/>
    <k n="name" t="s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16303E-B6D8-4979-8657-9B1528D0B27C}" name="GenderWeights" displayName="GenderWeights" ref="H11:I13" totalsRowShown="0">
  <autoFilter ref="H11:I13" xr:uid="{F364AB5E-6599-4586-98B7-D009D6B84566}"/>
  <tableColumns count="2">
    <tableColumn id="1" xr3:uid="{B7F37DA3-A021-4937-8508-3A1C03377C9B}" name="Group"/>
    <tableColumn id="2" xr3:uid="{D7EFB11F-6B27-4FBA-A0E4-F6C5C7C08DD3}" name="Proportion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EBE69D-BB2B-41D8-B20A-D1C7479E0855}" name="AgeWeights" displayName="AgeWeights" ref="H15:I18" totalsRowShown="0">
  <autoFilter ref="H15:I18" xr:uid="{BDE7DB34-D33C-4AD9-A82B-F012E955C874}"/>
  <tableColumns count="2">
    <tableColumn id="1" xr3:uid="{A7E7E4C6-7C7B-4853-8F7C-35B7701B4FA3}" name="Group"/>
    <tableColumn id="2" xr3:uid="{5ED348AE-5D88-4435-99AD-FAA8304CEBBE}" name="Propor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C7BF50-0190-42AA-A008-10B4566CD20E}" name="raw_data" displayName="raw_data" ref="B11:E111" totalsRowShown="0">
  <autoFilter ref="B11:E111" xr:uid="{F8D898D6-2A71-4305-9C09-4EDACBC24B55}"/>
  <tableColumns count="4">
    <tableColumn id="3" xr3:uid="{AAF57297-0549-4221-8897-BCEF62E8EAF1}" name="id"/>
    <tableColumn id="1" xr3:uid="{D12C2321-63C4-4075-BF98-C2A7827EB92C}" name="gender"/>
    <tableColumn id="2" xr3:uid="{2D765249-65C9-4BC4-B7B3-7E038374C33F}" name="age_group"/>
    <tableColumn id="4" xr3:uid="{F08CB118-94AF-4571-A747-D131C6E74F9E}" name="Blunt weight" dataDxfId="0">
      <calculatedColumnFormula>(_xlfn.XLOOKUP(C12,GenderWeights[Group],GenderWeights[Proportion])*_xlfn.XLOOKUP(D12,AgeWeights[Group],AgeWeights[Proportion]))/
(COUNTIFS(raw_data[gender],C12,raw_data[age_group],D12)/COUNTA(raw_data[id]))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7EC6-34C9-400E-9263-5A05494A841A}">
  <dimension ref="B1:V113"/>
  <sheetViews>
    <sheetView showGridLines="0" tabSelected="1" zoomScale="85" zoomScaleNormal="85" workbookViewId="0">
      <selection activeCell="J5" sqref="J5"/>
    </sheetView>
  </sheetViews>
  <sheetFormatPr defaultRowHeight="15.75" x14ac:dyDescent="0.25"/>
  <cols>
    <col min="1" max="1" width="1.625" customWidth="1"/>
    <col min="2" max="2" width="13.5" customWidth="1"/>
    <col min="4" max="5" width="11.875" customWidth="1"/>
    <col min="6" max="6" width="1.875" customWidth="1"/>
    <col min="7" max="7" width="1.5" customWidth="1"/>
    <col min="9" max="9" width="15" customWidth="1"/>
    <col min="10" max="10" width="14" customWidth="1"/>
    <col min="11" max="11" width="15" customWidth="1"/>
    <col min="12" max="12" width="11.375" customWidth="1"/>
    <col min="14" max="14" width="17.125" customWidth="1"/>
    <col min="15" max="15" width="13.5" customWidth="1"/>
    <col min="16" max="16" width="12.875" customWidth="1"/>
    <col min="17" max="17" width="16.125" customWidth="1"/>
    <col min="18" max="18" width="21.625" customWidth="1"/>
    <col min="19" max="19" width="9.875" bestFit="1" customWidth="1"/>
    <col min="20" max="20" width="10.875" bestFit="1" customWidth="1"/>
    <col min="21" max="21" width="14" customWidth="1"/>
    <col min="22" max="22" width="11.5" customWidth="1"/>
    <col min="25" max="25" width="27.625" customWidth="1"/>
  </cols>
  <sheetData>
    <row r="1" spans="2:21" s="1" customFormat="1" x14ac:dyDescent="0.25">
      <c r="P1"/>
      <c r="Q1"/>
      <c r="R1"/>
    </row>
    <row r="2" spans="2:21" s="1" customFormat="1" ht="30.75" customHeight="1" x14ac:dyDescent="0.25">
      <c r="B2" s="2" t="e" vm="1">
        <v>#VALUE!</v>
      </c>
      <c r="C2" s="2"/>
      <c r="D2" s="2"/>
      <c r="E2" s="2"/>
      <c r="F2" s="2"/>
      <c r="G2" s="2"/>
      <c r="H2" s="2"/>
      <c r="I2" s="2"/>
      <c r="J2" s="2"/>
      <c r="P2"/>
      <c r="Q2"/>
      <c r="R2"/>
    </row>
    <row r="3" spans="2:21" s="1" customFormat="1" x14ac:dyDescent="0.25">
      <c r="P3"/>
      <c r="Q3"/>
      <c r="R3"/>
    </row>
    <row r="5" spans="2:21" ht="20.25" thickBot="1" x14ac:dyDescent="0.35">
      <c r="B5" s="3" t="s">
        <v>0</v>
      </c>
      <c r="C5" s="3"/>
      <c r="D5" s="3"/>
      <c r="E5" s="3"/>
    </row>
    <row r="6" spans="2:21" ht="16.5" thickTop="1" x14ac:dyDescent="0.25"/>
    <row r="7" spans="2:21" x14ac:dyDescent="0.25">
      <c r="B7" t="s">
        <v>16</v>
      </c>
    </row>
    <row r="8" spans="2:21" x14ac:dyDescent="0.25">
      <c r="U8" s="7"/>
    </row>
    <row r="9" spans="2:21" ht="20.25" thickBot="1" x14ac:dyDescent="0.35">
      <c r="B9" s="3" t="s">
        <v>1</v>
      </c>
      <c r="H9" s="3" t="s">
        <v>2</v>
      </c>
      <c r="I9" s="3"/>
      <c r="K9" s="3" t="s">
        <v>33</v>
      </c>
      <c r="L9" s="3"/>
      <c r="R9" s="3" t="s">
        <v>32</v>
      </c>
      <c r="S9" s="3"/>
    </row>
    <row r="10" spans="2:21" ht="16.5" thickTop="1" x14ac:dyDescent="0.25"/>
    <row r="11" spans="2:21" x14ac:dyDescent="0.25">
      <c r="B11" t="s">
        <v>5</v>
      </c>
      <c r="C11" t="s">
        <v>6</v>
      </c>
      <c r="D11" t="s">
        <v>7</v>
      </c>
      <c r="E11" t="s">
        <v>17</v>
      </c>
      <c r="H11" t="s">
        <v>8</v>
      </c>
      <c r="I11" t="s">
        <v>9</v>
      </c>
      <c r="K11" t="s">
        <v>3</v>
      </c>
      <c r="L11" t="e" cm="1" vm="2">
        <f t="array" ref="L11">_xlfn._xlws.PY(0,1,raw_data[#All],GenderWeights[#All],AgeWeights[#All])</f>
        <v>#VALUE!</v>
      </c>
      <c r="N11" t="s">
        <v>34</v>
      </c>
      <c r="O11">
        <v>50</v>
      </c>
    </row>
    <row r="12" spans="2:21" ht="16.5" thickBot="1" x14ac:dyDescent="0.3">
      <c r="B12">
        <v>1</v>
      </c>
      <c r="C12" t="s">
        <v>10</v>
      </c>
      <c r="D12" t="s">
        <v>11</v>
      </c>
      <c r="E12">
        <f>(_xlfn.XLOOKUP(C12,GenderWeights[Group],GenderWeights[Proportion])*_xlfn.XLOOKUP(D12,AgeWeights[Group],AgeWeights[Proportion]))/
(COUNTIFS(raw_data[gender],C12,raw_data[age_group],D12)/COUNTA(raw_data[id]))</f>
        <v>1.1294117647058823</v>
      </c>
      <c r="H12" t="s">
        <v>10</v>
      </c>
      <c r="I12" s="4">
        <v>0.48</v>
      </c>
      <c r="K12" t="s">
        <v>4</v>
      </c>
      <c r="L12" cm="1" vm="3">
        <f t="array" ref="L12">_xlfn._xlws.PY(1,1,O11)</f>
        <v>0</v>
      </c>
      <c r="R12" s="11"/>
      <c r="S12" s="11" t="s">
        <v>19</v>
      </c>
      <c r="T12" s="11" t="s">
        <v>20</v>
      </c>
      <c r="U12" s="11" t="s">
        <v>21</v>
      </c>
    </row>
    <row r="13" spans="2:21" ht="20.25" thickBot="1" x14ac:dyDescent="0.35">
      <c r="B13">
        <v>2</v>
      </c>
      <c r="C13" t="s">
        <v>12</v>
      </c>
      <c r="D13" t="s">
        <v>13</v>
      </c>
      <c r="E13" s="9">
        <f>(_xlfn.XLOOKUP(C13,GenderWeights[Group],GenderWeights[Proportion])*_xlfn.XLOOKUP(D13,AgeWeights[Group],AgeWeights[Proportion]))/
(COUNTIFS(raw_data[gender],C13,raw_data[age_group],D13)/COUNTA(raw_data[id]))</f>
        <v>1.3</v>
      </c>
      <c r="H13" t="s">
        <v>12</v>
      </c>
      <c r="I13" s="4">
        <v>0.52</v>
      </c>
      <c r="K13" t="s">
        <v>15</v>
      </c>
      <c r="L13" s="3" t="str" cm="1">
        <f t="array" ref="L13:P113">_xlfn._xlws.PY(2,0)</f>
        <v>id</v>
      </c>
      <c r="M13" s="3" t="str">
        <v>gender</v>
      </c>
      <c r="N13" s="3" t="str">
        <v>age_group</v>
      </c>
      <c r="O13" s="3" t="str">
        <v>Blunt weight</v>
      </c>
      <c r="P13" s="3" t="str">
        <v>rim_weight</v>
      </c>
      <c r="R13" s="12" t="s">
        <v>10</v>
      </c>
      <c r="S13" s="4">
        <f>COUNTIFS(raw_data[gender],R13)/$I$20</f>
        <v>0.44</v>
      </c>
      <c r="T13" s="6">
        <f>SUMIFS($O$14:$O$113,M$14:M$113,R13)/$I$20</f>
        <v>0.48000000000000015</v>
      </c>
      <c r="U13" s="6">
        <f>SUMIFS($P$14:$P$113,M$14:M$113,R13)/$I$20</f>
        <v>0.48000000060809134</v>
      </c>
    </row>
    <row r="14" spans="2:21" ht="16.5" thickTop="1" x14ac:dyDescent="0.25">
      <c r="B14">
        <v>3</v>
      </c>
      <c r="C14" t="s">
        <v>10</v>
      </c>
      <c r="D14" t="s">
        <v>13</v>
      </c>
      <c r="E14">
        <f>(_xlfn.XLOOKUP(C14,GenderWeights[Group],GenderWeights[Proportion])*_xlfn.XLOOKUP(D14,AgeWeights[Group],AgeWeights[Proportion]))/
(COUNTIFS(raw_data[gender],C14,raw_data[age_group],D14)/COUNTA(raw_data[id]))</f>
        <v>1.0285714285714285</v>
      </c>
      <c r="L14">
        <v>1</v>
      </c>
      <c r="M14" t="str">
        <v>Male</v>
      </c>
      <c r="N14" t="str">
        <v>55+</v>
      </c>
      <c r="O14">
        <v>1.1294117647058823</v>
      </c>
      <c r="P14">
        <v>1.1035796523691053</v>
      </c>
      <c r="R14" s="12" t="s">
        <v>12</v>
      </c>
      <c r="S14" s="4">
        <f>COUNTIFS(raw_data[gender],R14)/$I$20</f>
        <v>0.56000000000000005</v>
      </c>
      <c r="T14" s="6">
        <f>SUMIFS($O$14:$O$113,M$14:M$113,R14)/$I$20</f>
        <v>0.52</v>
      </c>
      <c r="U14" s="6">
        <f>SUMIFS($P$14:$P$113,M$14:M$113,R14)/$I$20</f>
        <v>0.51999999939190888</v>
      </c>
    </row>
    <row r="15" spans="2:21" x14ac:dyDescent="0.25">
      <c r="B15">
        <v>4</v>
      </c>
      <c r="C15" t="s">
        <v>10</v>
      </c>
      <c r="D15" t="s">
        <v>13</v>
      </c>
      <c r="E15">
        <f>(_xlfn.XLOOKUP(C15,GenderWeights[Group],GenderWeights[Proportion])*_xlfn.XLOOKUP(D15,AgeWeights[Group],AgeWeights[Proportion]))/
(COUNTIFS(raw_data[gender],C15,raw_data[age_group],D15)/COUNTA(raw_data[id]))</f>
        <v>1.0285714285714285</v>
      </c>
      <c r="H15" t="s">
        <v>8</v>
      </c>
      <c r="I15" t="s">
        <v>9</v>
      </c>
      <c r="L15">
        <v>2</v>
      </c>
      <c r="M15" t="str">
        <v>Female</v>
      </c>
      <c r="N15" t="str">
        <v>35-54</v>
      </c>
      <c r="O15">
        <v>1.3</v>
      </c>
      <c r="P15">
        <v>1.0712913069370937</v>
      </c>
      <c r="R15" s="12"/>
      <c r="S15" s="4"/>
      <c r="T15" s="4"/>
      <c r="U15" s="4"/>
    </row>
    <row r="16" spans="2:21" x14ac:dyDescent="0.25">
      <c r="B16">
        <v>5</v>
      </c>
      <c r="C16" t="s">
        <v>10</v>
      </c>
      <c r="D16" t="s">
        <v>13</v>
      </c>
      <c r="E16">
        <f>(_xlfn.XLOOKUP(C16,GenderWeights[Group],GenderWeights[Proportion])*_xlfn.XLOOKUP(D16,AgeWeights[Group],AgeWeights[Proportion]))/
(COUNTIFS(raw_data[gender],C16,raw_data[age_group],D16)/COUNTA(raw_data[id]))</f>
        <v>1.0285714285714285</v>
      </c>
      <c r="H16" t="s">
        <v>14</v>
      </c>
      <c r="I16" s="5">
        <v>0.3</v>
      </c>
      <c r="L16">
        <v>3</v>
      </c>
      <c r="M16" t="str">
        <v>Male</v>
      </c>
      <c r="N16" t="str">
        <v>35-54</v>
      </c>
      <c r="O16">
        <v>1.0285714285714285</v>
      </c>
      <c r="P16">
        <v>1.2246074511967762</v>
      </c>
      <c r="R16" s="12" t="s">
        <v>14</v>
      </c>
      <c r="S16" s="4">
        <f>COUNTIFS(raw_data[age_group],R16)/$I$20</f>
        <v>0.35</v>
      </c>
      <c r="T16" s="4">
        <f>SUMIFS($O$14:$O$113,N$14:N$113,R16)/$I$20</f>
        <v>0.3000000000000001</v>
      </c>
      <c r="U16" s="4">
        <f>SUMIFS($P$14:$P$113,N$14:N$113,R16)/$I$20</f>
        <v>0.3</v>
      </c>
    </row>
    <row r="17" spans="2:22" x14ac:dyDescent="0.25">
      <c r="B17">
        <v>6</v>
      </c>
      <c r="C17" t="s">
        <v>12</v>
      </c>
      <c r="D17" t="s">
        <v>13</v>
      </c>
      <c r="E17">
        <f>(_xlfn.XLOOKUP(C17,GenderWeights[Group],GenderWeights[Proportion])*_xlfn.XLOOKUP(D17,AgeWeights[Group],AgeWeights[Proportion]))/
(COUNTIFS(raw_data[gender],C17,raw_data[age_group],D17)/COUNTA(raw_data[id]))</f>
        <v>1.3</v>
      </c>
      <c r="H17" t="s">
        <v>13</v>
      </c>
      <c r="I17" s="5">
        <v>0.3</v>
      </c>
      <c r="L17">
        <v>4</v>
      </c>
      <c r="M17" t="str">
        <v>Male</v>
      </c>
      <c r="N17" t="str">
        <v>35-54</v>
      </c>
      <c r="O17">
        <v>1.0285714285714285</v>
      </c>
      <c r="P17">
        <v>1.2246074511967762</v>
      </c>
      <c r="R17" s="12" t="s">
        <v>13</v>
      </c>
      <c r="S17" s="4">
        <f>COUNTIFS(raw_data[age_group],R17)/$I$20</f>
        <v>0.26</v>
      </c>
      <c r="T17" s="4">
        <f t="shared" ref="T17:T18" si="0">SUMIFS($O$14:$O$113,N$14:N$113,R17)/$I$20</f>
        <v>0.30000000000000004</v>
      </c>
      <c r="U17" s="4">
        <f t="shared" ref="U17:U18" si="1">SUMIFS($P$14:$P$113,N$14:N$113,R17)/$I$20</f>
        <v>0.29999999999999988</v>
      </c>
    </row>
    <row r="18" spans="2:22" x14ac:dyDescent="0.25">
      <c r="B18">
        <v>7</v>
      </c>
      <c r="C18" t="s">
        <v>10</v>
      </c>
      <c r="D18" t="s">
        <v>13</v>
      </c>
      <c r="E18">
        <f>(_xlfn.XLOOKUP(C18,GenderWeights[Group],GenderWeights[Proportion])*_xlfn.XLOOKUP(D18,AgeWeights[Group],AgeWeights[Proportion]))/
(COUNTIFS(raw_data[gender],C18,raw_data[age_group],D18)/COUNTA(raw_data[id]))</f>
        <v>1.0285714285714285</v>
      </c>
      <c r="H18" t="s">
        <v>11</v>
      </c>
      <c r="I18" s="4">
        <v>0.4</v>
      </c>
      <c r="L18">
        <v>5</v>
      </c>
      <c r="M18" t="str">
        <v>Male</v>
      </c>
      <c r="N18" t="str">
        <v>35-54</v>
      </c>
      <c r="O18">
        <v>1.0285714285714285</v>
      </c>
      <c r="P18">
        <v>1.2246074511967762</v>
      </c>
      <c r="R18" s="12" t="s">
        <v>11</v>
      </c>
      <c r="S18" s="4">
        <f>COUNTIFS(raw_data[age_group],R18)/$I$20</f>
        <v>0.39</v>
      </c>
      <c r="T18" s="4">
        <f t="shared" si="0"/>
        <v>0.4</v>
      </c>
      <c r="U18" s="4">
        <f t="shared" si="1"/>
        <v>0.40000000000000019</v>
      </c>
    </row>
    <row r="19" spans="2:22" x14ac:dyDescent="0.25">
      <c r="B19">
        <v>8</v>
      </c>
      <c r="C19" t="s">
        <v>10</v>
      </c>
      <c r="D19" t="s">
        <v>11</v>
      </c>
      <c r="E19">
        <f>(_xlfn.XLOOKUP(C19,GenderWeights[Group],GenderWeights[Proportion])*_xlfn.XLOOKUP(D19,AgeWeights[Group],AgeWeights[Proportion]))/
(COUNTIFS(raw_data[gender],C19,raw_data[age_group],D19)/COUNTA(raw_data[id]))</f>
        <v>1.1294117647058823</v>
      </c>
      <c r="L19">
        <v>6</v>
      </c>
      <c r="M19" t="str">
        <v>Female</v>
      </c>
      <c r="N19" t="str">
        <v>35-54</v>
      </c>
      <c r="O19">
        <v>1.3</v>
      </c>
      <c r="P19">
        <v>1.0712913069370937</v>
      </c>
    </row>
    <row r="20" spans="2:22" x14ac:dyDescent="0.25">
      <c r="B20">
        <v>9</v>
      </c>
      <c r="C20" t="s">
        <v>10</v>
      </c>
      <c r="D20" t="s">
        <v>11</v>
      </c>
      <c r="E20">
        <f>(_xlfn.XLOOKUP(C20,GenderWeights[Group],GenderWeights[Proportion])*_xlfn.XLOOKUP(D20,AgeWeights[Group],AgeWeights[Proportion]))/
(COUNTIFS(raw_data[gender],C20,raw_data[age_group],D20)/COUNTA(raw_data[id]))</f>
        <v>1.1294117647058823</v>
      </c>
      <c r="H20" t="s">
        <v>18</v>
      </c>
      <c r="I20">
        <f>COUNTA(raw_data[id])</f>
        <v>100</v>
      </c>
      <c r="L20">
        <v>7</v>
      </c>
      <c r="M20" t="str">
        <v>Male</v>
      </c>
      <c r="N20" t="str">
        <v>35-54</v>
      </c>
      <c r="O20">
        <v>1.0285714285714285</v>
      </c>
      <c r="P20">
        <v>1.2246074511967762</v>
      </c>
    </row>
    <row r="21" spans="2:22" ht="16.5" thickBot="1" x14ac:dyDescent="0.3">
      <c r="B21">
        <v>10</v>
      </c>
      <c r="C21" t="s">
        <v>12</v>
      </c>
      <c r="D21" t="s">
        <v>13</v>
      </c>
      <c r="E21">
        <f>(_xlfn.XLOOKUP(C21,GenderWeights[Group],GenderWeights[Proportion])*_xlfn.XLOOKUP(D21,AgeWeights[Group],AgeWeights[Proportion]))/
(COUNTIFS(raw_data[gender],C21,raw_data[age_group],D21)/COUNTA(raw_data[id]))</f>
        <v>1.3</v>
      </c>
      <c r="L21">
        <v>8</v>
      </c>
      <c r="M21" t="str">
        <v>Male</v>
      </c>
      <c r="N21" t="str">
        <v>55+</v>
      </c>
      <c r="O21">
        <v>1.1294117647058823</v>
      </c>
      <c r="P21">
        <v>1.1035796523691053</v>
      </c>
      <c r="R21" s="11"/>
      <c r="S21" s="11" t="s">
        <v>19</v>
      </c>
      <c r="T21" s="11" t="s">
        <v>20</v>
      </c>
      <c r="U21" s="11" t="s">
        <v>21</v>
      </c>
      <c r="V21" s="13" t="s">
        <v>35</v>
      </c>
    </row>
    <row r="22" spans="2:22" x14ac:dyDescent="0.25">
      <c r="B22">
        <v>11</v>
      </c>
      <c r="C22" t="s">
        <v>10</v>
      </c>
      <c r="D22" t="s">
        <v>11</v>
      </c>
      <c r="E22">
        <f>(_xlfn.XLOOKUP(C22,GenderWeights[Group],GenderWeights[Proportion])*_xlfn.XLOOKUP(D22,AgeWeights[Group],AgeWeights[Proportion]))/
(COUNTIFS(raw_data[gender],C22,raw_data[age_group],D22)/COUNTA(raw_data[id]))</f>
        <v>1.1294117647058823</v>
      </c>
      <c r="L22">
        <v>9</v>
      </c>
      <c r="M22" t="str">
        <v>Male</v>
      </c>
      <c r="N22" t="str">
        <v>55+</v>
      </c>
      <c r="O22">
        <v>1.1294117647058823</v>
      </c>
      <c r="P22">
        <v>1.1035796523691053</v>
      </c>
      <c r="R22" s="12" t="s">
        <v>22</v>
      </c>
      <c r="S22">
        <v>100</v>
      </c>
      <c r="T22" s="8" cm="1">
        <f t="array" ref="T22">SUM(O14:O113)^2/
SUM(O14:O113^2)</f>
        <v>96.661153245207615</v>
      </c>
      <c r="U22" s="8" cm="1">
        <f t="array" ref="U22">SUM(P14:P113)^2/
SUM(P14:P113^2)</f>
        <v>98.230748709728857</v>
      </c>
      <c r="V22" t="s">
        <v>23</v>
      </c>
    </row>
    <row r="23" spans="2:22" x14ac:dyDescent="0.25">
      <c r="B23">
        <v>12</v>
      </c>
      <c r="C23" t="s">
        <v>10</v>
      </c>
      <c r="D23" t="s">
        <v>14</v>
      </c>
      <c r="E23">
        <f>(_xlfn.XLOOKUP(C23,GenderWeights[Group],GenderWeights[Proportion])*_xlfn.XLOOKUP(D23,AgeWeights[Group],AgeWeights[Proportion]))/
(COUNTIFS(raw_data[gender],C23,raw_data[age_group],D23)/COUNTA(raw_data[id]))</f>
        <v>1.1076923076923075</v>
      </c>
      <c r="L23">
        <v>10</v>
      </c>
      <c r="M23" t="str">
        <v>Female</v>
      </c>
      <c r="N23" t="str">
        <v>35-54</v>
      </c>
      <c r="O23">
        <v>1.3</v>
      </c>
      <c r="P23">
        <v>1.0712913069370937</v>
      </c>
      <c r="R23" s="12" t="s">
        <v>24</v>
      </c>
      <c r="S23">
        <v>1</v>
      </c>
      <c r="T23" s="8">
        <f>MIN(O14:O113)</f>
        <v>0.70909090909090911</v>
      </c>
      <c r="U23" s="8">
        <f>MIN(P14:P113)</f>
        <v>0.81387992482820615</v>
      </c>
    </row>
    <row r="24" spans="2:22" x14ac:dyDescent="0.25">
      <c r="B24">
        <v>13</v>
      </c>
      <c r="C24" t="s">
        <v>10</v>
      </c>
      <c r="D24" t="s">
        <v>13</v>
      </c>
      <c r="E24">
        <f>(_xlfn.XLOOKUP(C24,GenderWeights[Group],GenderWeights[Proportion])*_xlfn.XLOOKUP(D24,AgeWeights[Group],AgeWeights[Proportion]))/
(COUNTIFS(raw_data[gender],C24,raw_data[age_group],D24)/COUNTA(raw_data[id]))</f>
        <v>1.0285714285714285</v>
      </c>
      <c r="L24">
        <v>11</v>
      </c>
      <c r="M24" t="str">
        <v>Male</v>
      </c>
      <c r="N24" t="str">
        <v>55+</v>
      </c>
      <c r="O24">
        <v>1.1294117647058823</v>
      </c>
      <c r="P24">
        <v>1.1035796523691053</v>
      </c>
      <c r="R24" s="12" t="s">
        <v>25</v>
      </c>
      <c r="S24">
        <v>1</v>
      </c>
      <c r="T24" s="8">
        <f>MAX(O14:O113)</f>
        <v>1.3</v>
      </c>
      <c r="U24" s="8">
        <f>MAX(P14:P113)</f>
        <v>1.2246074511967762</v>
      </c>
    </row>
    <row r="25" spans="2:22" x14ac:dyDescent="0.25">
      <c r="B25">
        <v>14</v>
      </c>
      <c r="C25" t="s">
        <v>10</v>
      </c>
      <c r="D25" t="s">
        <v>14</v>
      </c>
      <c r="E25">
        <f>(_xlfn.XLOOKUP(C25,GenderWeights[Group],GenderWeights[Proportion])*_xlfn.XLOOKUP(D25,AgeWeights[Group],AgeWeights[Proportion]))/
(COUNTIFS(raw_data[gender],C25,raw_data[age_group],D25)/COUNTA(raw_data[id]))</f>
        <v>1.1076923076923075</v>
      </c>
      <c r="L25">
        <v>12</v>
      </c>
      <c r="M25" t="str">
        <v>Male</v>
      </c>
      <c r="N25" t="str">
        <v>18-34</v>
      </c>
      <c r="O25">
        <v>1.1076923076923075</v>
      </c>
      <c r="P25">
        <v>0.93035705029072746</v>
      </c>
      <c r="R25" s="12" t="s">
        <v>26</v>
      </c>
      <c r="S25">
        <v>1</v>
      </c>
      <c r="T25" s="8">
        <f>AVERAGE(O14:O113)</f>
        <v>1.0000000000000004</v>
      </c>
      <c r="U25" s="8">
        <f>AVERAGE(P14:P113)</f>
        <v>1</v>
      </c>
    </row>
    <row r="26" spans="2:22" x14ac:dyDescent="0.25">
      <c r="B26">
        <v>15</v>
      </c>
      <c r="C26" t="s">
        <v>12</v>
      </c>
      <c r="D26" t="s">
        <v>14</v>
      </c>
      <c r="E26">
        <f>(_xlfn.XLOOKUP(C26,GenderWeights[Group],GenderWeights[Proportion])*_xlfn.XLOOKUP(D26,AgeWeights[Group],AgeWeights[Proportion]))/
(COUNTIFS(raw_data[gender],C26,raw_data[age_group],D26)/COUNTA(raw_data[id]))</f>
        <v>0.70909090909090911</v>
      </c>
      <c r="L26">
        <v>13</v>
      </c>
      <c r="M26" t="str">
        <v>Male</v>
      </c>
      <c r="N26" t="str">
        <v>35-54</v>
      </c>
      <c r="O26">
        <v>1.0285714285714285</v>
      </c>
      <c r="P26">
        <v>1.2246074511967762</v>
      </c>
      <c r="R26" s="12" t="s">
        <v>27</v>
      </c>
      <c r="S26">
        <v>0</v>
      </c>
      <c r="T26" s="8">
        <f>_xlfn.STDEV.P(O14:O113)</f>
        <v>0.18585414743350107</v>
      </c>
      <c r="U26" s="8">
        <f>_xlfn.STDEV.P(P14:P113)</f>
        <v>0.13420572217338436</v>
      </c>
    </row>
    <row r="27" spans="2:22" x14ac:dyDescent="0.25">
      <c r="B27">
        <v>16</v>
      </c>
      <c r="C27" t="s">
        <v>10</v>
      </c>
      <c r="D27" t="s">
        <v>13</v>
      </c>
      <c r="E27">
        <f>(_xlfn.XLOOKUP(C27,GenderWeights[Group],GenderWeights[Proportion])*_xlfn.XLOOKUP(D27,AgeWeights[Group],AgeWeights[Proportion]))/
(COUNTIFS(raw_data[gender],C27,raw_data[age_group],D27)/COUNTA(raw_data[id]))</f>
        <v>1.0285714285714285</v>
      </c>
      <c r="L27">
        <v>14</v>
      </c>
      <c r="M27" t="str">
        <v>Male</v>
      </c>
      <c r="N27" t="str">
        <v>18-34</v>
      </c>
      <c r="O27">
        <v>1.1076923076923075</v>
      </c>
      <c r="P27">
        <v>0.93035705029072746</v>
      </c>
      <c r="R27" s="12" t="s">
        <v>28</v>
      </c>
      <c r="S27">
        <v>0</v>
      </c>
      <c r="T27" s="8">
        <f>T26/T25</f>
        <v>0.18585414743350098</v>
      </c>
      <c r="U27" s="8">
        <f>U26/U25</f>
        <v>0.13420572217338436</v>
      </c>
      <c r="V27" t="s">
        <v>31</v>
      </c>
    </row>
    <row r="28" spans="2:22" x14ac:dyDescent="0.25">
      <c r="B28">
        <v>17</v>
      </c>
      <c r="C28" t="s">
        <v>12</v>
      </c>
      <c r="D28" t="s">
        <v>11</v>
      </c>
      <c r="E28">
        <f>(_xlfn.XLOOKUP(C28,GenderWeights[Group],GenderWeights[Proportion])*_xlfn.XLOOKUP(D28,AgeWeights[Group],AgeWeights[Proportion]))/
(COUNTIFS(raw_data[gender],C28,raw_data[age_group],D28)/COUNTA(raw_data[id]))</f>
        <v>0.94545454545454555</v>
      </c>
      <c r="L28">
        <v>15</v>
      </c>
      <c r="M28" t="str">
        <v>Female</v>
      </c>
      <c r="N28" t="str">
        <v>18-34</v>
      </c>
      <c r="O28">
        <v>0.70909090909090911</v>
      </c>
      <c r="P28">
        <v>0.81387992482820615</v>
      </c>
      <c r="R28" s="12" t="s">
        <v>29</v>
      </c>
      <c r="S28">
        <v>1</v>
      </c>
      <c r="T28" s="8">
        <f>1+T27^2</f>
        <v>1.0345417641182335</v>
      </c>
      <c r="U28" s="8">
        <f>1+U27^2</f>
        <v>1.0180111758640797</v>
      </c>
      <c r="V28" s="10" t="s">
        <v>30</v>
      </c>
    </row>
    <row r="29" spans="2:22" x14ac:dyDescent="0.25">
      <c r="B29">
        <v>18</v>
      </c>
      <c r="C29" t="s">
        <v>12</v>
      </c>
      <c r="D29" t="s">
        <v>14</v>
      </c>
      <c r="E29">
        <f>(_xlfn.XLOOKUP(C29,GenderWeights[Group],GenderWeights[Proportion])*_xlfn.XLOOKUP(D29,AgeWeights[Group],AgeWeights[Proportion]))/
(COUNTIFS(raw_data[gender],C29,raw_data[age_group],D29)/COUNTA(raw_data[id]))</f>
        <v>0.70909090909090911</v>
      </c>
      <c r="L29">
        <v>16</v>
      </c>
      <c r="M29" t="str">
        <v>Male</v>
      </c>
      <c r="N29" t="str">
        <v>35-54</v>
      </c>
      <c r="O29">
        <v>1.0285714285714285</v>
      </c>
      <c r="P29">
        <v>1.2246074511967762</v>
      </c>
    </row>
    <row r="30" spans="2:22" x14ac:dyDescent="0.25">
      <c r="B30">
        <v>19</v>
      </c>
      <c r="C30" t="s">
        <v>12</v>
      </c>
      <c r="D30" t="s">
        <v>13</v>
      </c>
      <c r="E30">
        <f>(_xlfn.XLOOKUP(C30,GenderWeights[Group],GenderWeights[Proportion])*_xlfn.XLOOKUP(D30,AgeWeights[Group],AgeWeights[Proportion]))/
(COUNTIFS(raw_data[gender],C30,raw_data[age_group],D30)/COUNTA(raw_data[id]))</f>
        <v>1.3</v>
      </c>
      <c r="L30">
        <v>17</v>
      </c>
      <c r="M30" t="str">
        <v>Female</v>
      </c>
      <c r="N30" t="str">
        <v>55+</v>
      </c>
      <c r="O30">
        <v>0.94545454545454555</v>
      </c>
      <c r="P30">
        <v>0.96541572316932744</v>
      </c>
    </row>
    <row r="31" spans="2:22" x14ac:dyDescent="0.25">
      <c r="B31">
        <v>20</v>
      </c>
      <c r="C31" t="s">
        <v>10</v>
      </c>
      <c r="D31" t="s">
        <v>14</v>
      </c>
      <c r="E31">
        <f>(_xlfn.XLOOKUP(C31,GenderWeights[Group],GenderWeights[Proportion])*_xlfn.XLOOKUP(D31,AgeWeights[Group],AgeWeights[Proportion]))/
(COUNTIFS(raw_data[gender],C31,raw_data[age_group],D31)/COUNTA(raw_data[id]))</f>
        <v>1.1076923076923075</v>
      </c>
      <c r="L31">
        <v>18</v>
      </c>
      <c r="M31" t="str">
        <v>Female</v>
      </c>
      <c r="N31" t="str">
        <v>18-34</v>
      </c>
      <c r="O31">
        <v>0.70909090909090911</v>
      </c>
      <c r="P31">
        <v>0.81387992482820615</v>
      </c>
    </row>
    <row r="32" spans="2:22" x14ac:dyDescent="0.25">
      <c r="B32">
        <v>21</v>
      </c>
      <c r="C32" t="s">
        <v>12</v>
      </c>
      <c r="D32" t="s">
        <v>14</v>
      </c>
      <c r="E32">
        <f>(_xlfn.XLOOKUP(C32,GenderWeights[Group],GenderWeights[Proportion])*_xlfn.XLOOKUP(D32,AgeWeights[Group],AgeWeights[Proportion]))/
(COUNTIFS(raw_data[gender],C32,raw_data[age_group],D32)/COUNTA(raw_data[id]))</f>
        <v>0.70909090909090911</v>
      </c>
      <c r="L32">
        <v>19</v>
      </c>
      <c r="M32" t="str">
        <v>Female</v>
      </c>
      <c r="N32" t="str">
        <v>35-54</v>
      </c>
      <c r="O32">
        <v>1.3</v>
      </c>
      <c r="P32">
        <v>1.0712913069370937</v>
      </c>
    </row>
    <row r="33" spans="2:16" x14ac:dyDescent="0.25">
      <c r="B33">
        <v>22</v>
      </c>
      <c r="C33" t="s">
        <v>10</v>
      </c>
      <c r="D33" t="s">
        <v>14</v>
      </c>
      <c r="E33">
        <f>(_xlfn.XLOOKUP(C33,GenderWeights[Group],GenderWeights[Proportion])*_xlfn.XLOOKUP(D33,AgeWeights[Group],AgeWeights[Proportion]))/
(COUNTIFS(raw_data[gender],C33,raw_data[age_group],D33)/COUNTA(raw_data[id]))</f>
        <v>1.1076923076923075</v>
      </c>
      <c r="L33">
        <v>20</v>
      </c>
      <c r="M33" t="str">
        <v>Male</v>
      </c>
      <c r="N33" t="str">
        <v>18-34</v>
      </c>
      <c r="O33">
        <v>1.1076923076923075</v>
      </c>
      <c r="P33">
        <v>0.93035705029072746</v>
      </c>
    </row>
    <row r="34" spans="2:16" x14ac:dyDescent="0.25">
      <c r="B34">
        <v>23</v>
      </c>
      <c r="C34" t="s">
        <v>12</v>
      </c>
      <c r="D34" t="s">
        <v>14</v>
      </c>
      <c r="E34">
        <f>(_xlfn.XLOOKUP(C34,GenderWeights[Group],GenderWeights[Proportion])*_xlfn.XLOOKUP(D34,AgeWeights[Group],AgeWeights[Proportion]))/
(COUNTIFS(raw_data[gender],C34,raw_data[age_group],D34)/COUNTA(raw_data[id]))</f>
        <v>0.70909090909090911</v>
      </c>
      <c r="L34">
        <v>21</v>
      </c>
      <c r="M34" t="str">
        <v>Female</v>
      </c>
      <c r="N34" t="str">
        <v>18-34</v>
      </c>
      <c r="O34">
        <v>0.70909090909090911</v>
      </c>
      <c r="P34">
        <v>0.81387992482820615</v>
      </c>
    </row>
    <row r="35" spans="2:16" x14ac:dyDescent="0.25">
      <c r="B35">
        <v>24</v>
      </c>
      <c r="C35" t="s">
        <v>12</v>
      </c>
      <c r="D35" t="s">
        <v>11</v>
      </c>
      <c r="E35">
        <f>(_xlfn.XLOOKUP(C35,GenderWeights[Group],GenderWeights[Proportion])*_xlfn.XLOOKUP(D35,AgeWeights[Group],AgeWeights[Proportion]))/
(COUNTIFS(raw_data[gender],C35,raw_data[age_group],D35)/COUNTA(raw_data[id]))</f>
        <v>0.94545454545454555</v>
      </c>
      <c r="L35">
        <v>22</v>
      </c>
      <c r="M35" t="str">
        <v>Male</v>
      </c>
      <c r="N35" t="str">
        <v>18-34</v>
      </c>
      <c r="O35">
        <v>1.1076923076923075</v>
      </c>
      <c r="P35">
        <v>0.93035705029072746</v>
      </c>
    </row>
    <row r="36" spans="2:16" x14ac:dyDescent="0.25">
      <c r="B36">
        <v>25</v>
      </c>
      <c r="C36" t="s">
        <v>12</v>
      </c>
      <c r="D36" t="s">
        <v>14</v>
      </c>
      <c r="E36">
        <f>(_xlfn.XLOOKUP(C36,GenderWeights[Group],GenderWeights[Proportion])*_xlfn.XLOOKUP(D36,AgeWeights[Group],AgeWeights[Proportion]))/
(COUNTIFS(raw_data[gender],C36,raw_data[age_group],D36)/COUNTA(raw_data[id]))</f>
        <v>0.70909090909090911</v>
      </c>
      <c r="L36">
        <v>23</v>
      </c>
      <c r="M36" t="str">
        <v>Female</v>
      </c>
      <c r="N36" t="str">
        <v>18-34</v>
      </c>
      <c r="O36">
        <v>0.70909090909090911</v>
      </c>
      <c r="P36">
        <v>0.81387992482820615</v>
      </c>
    </row>
    <row r="37" spans="2:16" x14ac:dyDescent="0.25">
      <c r="B37">
        <v>26</v>
      </c>
      <c r="C37" t="s">
        <v>12</v>
      </c>
      <c r="D37" t="s">
        <v>14</v>
      </c>
      <c r="E37">
        <f>(_xlfn.XLOOKUP(C37,GenderWeights[Group],GenderWeights[Proportion])*_xlfn.XLOOKUP(D37,AgeWeights[Group],AgeWeights[Proportion]))/
(COUNTIFS(raw_data[gender],C37,raw_data[age_group],D37)/COUNTA(raw_data[id]))</f>
        <v>0.70909090909090911</v>
      </c>
      <c r="L37">
        <v>24</v>
      </c>
      <c r="M37" t="str">
        <v>Female</v>
      </c>
      <c r="N37" t="str">
        <v>55+</v>
      </c>
      <c r="O37">
        <v>0.94545454545454555</v>
      </c>
      <c r="P37">
        <v>0.96541572316932744</v>
      </c>
    </row>
    <row r="38" spans="2:16" x14ac:dyDescent="0.25">
      <c r="B38">
        <v>27</v>
      </c>
      <c r="C38" t="s">
        <v>12</v>
      </c>
      <c r="D38" t="s">
        <v>14</v>
      </c>
      <c r="E38">
        <f>(_xlfn.XLOOKUP(C38,GenderWeights[Group],GenderWeights[Proportion])*_xlfn.XLOOKUP(D38,AgeWeights[Group],AgeWeights[Proportion]))/
(COUNTIFS(raw_data[gender],C38,raw_data[age_group],D38)/COUNTA(raw_data[id]))</f>
        <v>0.70909090909090911</v>
      </c>
      <c r="L38">
        <v>25</v>
      </c>
      <c r="M38" t="str">
        <v>Female</v>
      </c>
      <c r="N38" t="str">
        <v>18-34</v>
      </c>
      <c r="O38">
        <v>0.70909090909090911</v>
      </c>
      <c r="P38">
        <v>0.81387992482820615</v>
      </c>
    </row>
    <row r="39" spans="2:16" x14ac:dyDescent="0.25">
      <c r="B39">
        <v>28</v>
      </c>
      <c r="C39" t="s">
        <v>12</v>
      </c>
      <c r="D39" t="s">
        <v>11</v>
      </c>
      <c r="E39">
        <f>(_xlfn.XLOOKUP(C39,GenderWeights[Group],GenderWeights[Proportion])*_xlfn.XLOOKUP(D39,AgeWeights[Group],AgeWeights[Proportion]))/
(COUNTIFS(raw_data[gender],C39,raw_data[age_group],D39)/COUNTA(raw_data[id]))</f>
        <v>0.94545454545454555</v>
      </c>
      <c r="L39">
        <v>26</v>
      </c>
      <c r="M39" t="str">
        <v>Female</v>
      </c>
      <c r="N39" t="str">
        <v>18-34</v>
      </c>
      <c r="O39">
        <v>0.70909090909090911</v>
      </c>
      <c r="P39">
        <v>0.81387992482820615</v>
      </c>
    </row>
    <row r="40" spans="2:16" x14ac:dyDescent="0.25">
      <c r="B40">
        <v>29</v>
      </c>
      <c r="C40" t="s">
        <v>12</v>
      </c>
      <c r="D40" t="s">
        <v>14</v>
      </c>
      <c r="E40">
        <f>(_xlfn.XLOOKUP(C40,GenderWeights[Group],GenderWeights[Proportion])*_xlfn.XLOOKUP(D40,AgeWeights[Group],AgeWeights[Proportion]))/
(COUNTIFS(raw_data[gender],C40,raw_data[age_group],D40)/COUNTA(raw_data[id]))</f>
        <v>0.70909090909090911</v>
      </c>
      <c r="L40">
        <v>27</v>
      </c>
      <c r="M40" t="str">
        <v>Female</v>
      </c>
      <c r="N40" t="str">
        <v>18-34</v>
      </c>
      <c r="O40">
        <v>0.70909090909090911</v>
      </c>
      <c r="P40">
        <v>0.81387992482820615</v>
      </c>
    </row>
    <row r="41" spans="2:16" x14ac:dyDescent="0.25">
      <c r="B41">
        <v>30</v>
      </c>
      <c r="C41" t="s">
        <v>12</v>
      </c>
      <c r="D41" t="s">
        <v>14</v>
      </c>
      <c r="E41">
        <f>(_xlfn.XLOOKUP(C41,GenderWeights[Group],GenderWeights[Proportion])*_xlfn.XLOOKUP(D41,AgeWeights[Group],AgeWeights[Proportion]))/
(COUNTIFS(raw_data[gender],C41,raw_data[age_group],D41)/COUNTA(raw_data[id]))</f>
        <v>0.70909090909090911</v>
      </c>
      <c r="L41">
        <v>28</v>
      </c>
      <c r="M41" t="str">
        <v>Female</v>
      </c>
      <c r="N41" t="str">
        <v>55+</v>
      </c>
      <c r="O41">
        <v>0.94545454545454555</v>
      </c>
      <c r="P41">
        <v>0.96541572316932744</v>
      </c>
    </row>
    <row r="42" spans="2:16" x14ac:dyDescent="0.25">
      <c r="B42">
        <v>31</v>
      </c>
      <c r="C42" t="s">
        <v>10</v>
      </c>
      <c r="D42" t="s">
        <v>11</v>
      </c>
      <c r="E42">
        <f>(_xlfn.XLOOKUP(C42,GenderWeights[Group],GenderWeights[Proportion])*_xlfn.XLOOKUP(D42,AgeWeights[Group],AgeWeights[Proportion]))/
(COUNTIFS(raw_data[gender],C42,raw_data[age_group],D42)/COUNTA(raw_data[id]))</f>
        <v>1.1294117647058823</v>
      </c>
      <c r="L42">
        <v>29</v>
      </c>
      <c r="M42" t="str">
        <v>Female</v>
      </c>
      <c r="N42" t="str">
        <v>18-34</v>
      </c>
      <c r="O42">
        <v>0.70909090909090911</v>
      </c>
      <c r="P42">
        <v>0.81387992482820615</v>
      </c>
    </row>
    <row r="43" spans="2:16" x14ac:dyDescent="0.25">
      <c r="B43">
        <v>32</v>
      </c>
      <c r="C43" t="s">
        <v>10</v>
      </c>
      <c r="D43" t="s">
        <v>11</v>
      </c>
      <c r="E43">
        <f>(_xlfn.XLOOKUP(C43,GenderWeights[Group],GenderWeights[Proportion])*_xlfn.XLOOKUP(D43,AgeWeights[Group],AgeWeights[Proportion]))/
(COUNTIFS(raw_data[gender],C43,raw_data[age_group],D43)/COUNTA(raw_data[id]))</f>
        <v>1.1294117647058823</v>
      </c>
      <c r="L43">
        <v>30</v>
      </c>
      <c r="M43" t="str">
        <v>Female</v>
      </c>
      <c r="N43" t="str">
        <v>18-34</v>
      </c>
      <c r="O43">
        <v>0.70909090909090911</v>
      </c>
      <c r="P43">
        <v>0.81387992482820615</v>
      </c>
    </row>
    <row r="44" spans="2:16" x14ac:dyDescent="0.25">
      <c r="B44">
        <v>33</v>
      </c>
      <c r="C44" t="s">
        <v>12</v>
      </c>
      <c r="D44" t="s">
        <v>11</v>
      </c>
      <c r="E44">
        <f>(_xlfn.XLOOKUP(C44,GenderWeights[Group],GenderWeights[Proportion])*_xlfn.XLOOKUP(D44,AgeWeights[Group],AgeWeights[Proportion]))/
(COUNTIFS(raw_data[gender],C44,raw_data[age_group],D44)/COUNTA(raw_data[id]))</f>
        <v>0.94545454545454555</v>
      </c>
      <c r="L44">
        <v>31</v>
      </c>
      <c r="M44" t="str">
        <v>Male</v>
      </c>
      <c r="N44" t="str">
        <v>55+</v>
      </c>
      <c r="O44">
        <v>1.1294117647058823</v>
      </c>
      <c r="P44">
        <v>1.1035796523691053</v>
      </c>
    </row>
    <row r="45" spans="2:16" x14ac:dyDescent="0.25">
      <c r="B45">
        <v>34</v>
      </c>
      <c r="C45" t="s">
        <v>12</v>
      </c>
      <c r="D45" t="s">
        <v>14</v>
      </c>
      <c r="E45">
        <f>(_xlfn.XLOOKUP(C45,GenderWeights[Group],GenderWeights[Proportion])*_xlfn.XLOOKUP(D45,AgeWeights[Group],AgeWeights[Proportion]))/
(COUNTIFS(raw_data[gender],C45,raw_data[age_group],D45)/COUNTA(raw_data[id]))</f>
        <v>0.70909090909090911</v>
      </c>
      <c r="L45">
        <v>32</v>
      </c>
      <c r="M45" t="str">
        <v>Male</v>
      </c>
      <c r="N45" t="str">
        <v>55+</v>
      </c>
      <c r="O45">
        <v>1.1294117647058823</v>
      </c>
      <c r="P45">
        <v>1.1035796523691053</v>
      </c>
    </row>
    <row r="46" spans="2:16" x14ac:dyDescent="0.25">
      <c r="B46">
        <v>35</v>
      </c>
      <c r="C46" t="s">
        <v>12</v>
      </c>
      <c r="D46" t="s">
        <v>11</v>
      </c>
      <c r="E46">
        <f>(_xlfn.XLOOKUP(C46,GenderWeights[Group],GenderWeights[Proportion])*_xlfn.XLOOKUP(D46,AgeWeights[Group],AgeWeights[Proportion]))/
(COUNTIFS(raw_data[gender],C46,raw_data[age_group],D46)/COUNTA(raw_data[id]))</f>
        <v>0.94545454545454555</v>
      </c>
      <c r="L46">
        <v>33</v>
      </c>
      <c r="M46" t="str">
        <v>Female</v>
      </c>
      <c r="N46" t="str">
        <v>55+</v>
      </c>
      <c r="O46">
        <v>0.94545454545454555</v>
      </c>
      <c r="P46">
        <v>0.96541572316932744</v>
      </c>
    </row>
    <row r="47" spans="2:16" x14ac:dyDescent="0.25">
      <c r="B47">
        <v>36</v>
      </c>
      <c r="C47" t="s">
        <v>10</v>
      </c>
      <c r="D47" t="s">
        <v>11</v>
      </c>
      <c r="E47">
        <f>(_xlfn.XLOOKUP(C47,GenderWeights[Group],GenderWeights[Proportion])*_xlfn.XLOOKUP(D47,AgeWeights[Group],AgeWeights[Proportion]))/
(COUNTIFS(raw_data[gender],C47,raw_data[age_group],D47)/COUNTA(raw_data[id]))</f>
        <v>1.1294117647058823</v>
      </c>
      <c r="L47">
        <v>34</v>
      </c>
      <c r="M47" t="str">
        <v>Female</v>
      </c>
      <c r="N47" t="str">
        <v>18-34</v>
      </c>
      <c r="O47">
        <v>0.70909090909090911</v>
      </c>
      <c r="P47">
        <v>0.81387992482820615</v>
      </c>
    </row>
    <row r="48" spans="2:16" x14ac:dyDescent="0.25">
      <c r="B48">
        <v>37</v>
      </c>
      <c r="C48" t="s">
        <v>12</v>
      </c>
      <c r="D48" t="s">
        <v>14</v>
      </c>
      <c r="E48">
        <f>(_xlfn.XLOOKUP(C48,GenderWeights[Group],GenderWeights[Proportion])*_xlfn.XLOOKUP(D48,AgeWeights[Group],AgeWeights[Proportion]))/
(COUNTIFS(raw_data[gender],C48,raw_data[age_group],D48)/COUNTA(raw_data[id]))</f>
        <v>0.70909090909090911</v>
      </c>
      <c r="L48">
        <v>35</v>
      </c>
      <c r="M48" t="str">
        <v>Female</v>
      </c>
      <c r="N48" t="str">
        <v>55+</v>
      </c>
      <c r="O48">
        <v>0.94545454545454555</v>
      </c>
      <c r="P48">
        <v>0.96541572316932744</v>
      </c>
    </row>
    <row r="49" spans="2:16" x14ac:dyDescent="0.25">
      <c r="B49">
        <v>38</v>
      </c>
      <c r="C49" t="s">
        <v>10</v>
      </c>
      <c r="D49" t="s">
        <v>11</v>
      </c>
      <c r="E49">
        <f>(_xlfn.XLOOKUP(C49,GenderWeights[Group],GenderWeights[Proportion])*_xlfn.XLOOKUP(D49,AgeWeights[Group],AgeWeights[Proportion]))/
(COUNTIFS(raw_data[gender],C49,raw_data[age_group],D49)/COUNTA(raw_data[id]))</f>
        <v>1.1294117647058823</v>
      </c>
      <c r="L49">
        <v>36</v>
      </c>
      <c r="M49" t="str">
        <v>Male</v>
      </c>
      <c r="N49" t="str">
        <v>55+</v>
      </c>
      <c r="O49">
        <v>1.1294117647058823</v>
      </c>
      <c r="P49">
        <v>1.1035796523691053</v>
      </c>
    </row>
    <row r="50" spans="2:16" x14ac:dyDescent="0.25">
      <c r="B50">
        <v>39</v>
      </c>
      <c r="C50" t="s">
        <v>10</v>
      </c>
      <c r="D50" t="s">
        <v>14</v>
      </c>
      <c r="E50">
        <f>(_xlfn.XLOOKUP(C50,GenderWeights[Group],GenderWeights[Proportion])*_xlfn.XLOOKUP(D50,AgeWeights[Group],AgeWeights[Proportion]))/
(COUNTIFS(raw_data[gender],C50,raw_data[age_group],D50)/COUNTA(raw_data[id]))</f>
        <v>1.1076923076923075</v>
      </c>
      <c r="L50">
        <v>37</v>
      </c>
      <c r="M50" t="str">
        <v>Female</v>
      </c>
      <c r="N50" t="str">
        <v>18-34</v>
      </c>
      <c r="O50">
        <v>0.70909090909090911</v>
      </c>
      <c r="P50">
        <v>0.81387992482820615</v>
      </c>
    </row>
    <row r="51" spans="2:16" x14ac:dyDescent="0.25">
      <c r="B51">
        <v>40</v>
      </c>
      <c r="C51" t="s">
        <v>10</v>
      </c>
      <c r="D51" t="s">
        <v>13</v>
      </c>
      <c r="E51">
        <f>(_xlfn.XLOOKUP(C51,GenderWeights[Group],GenderWeights[Proportion])*_xlfn.XLOOKUP(D51,AgeWeights[Group],AgeWeights[Proportion]))/
(COUNTIFS(raw_data[gender],C51,raw_data[age_group],D51)/COUNTA(raw_data[id]))</f>
        <v>1.0285714285714285</v>
      </c>
      <c r="L51">
        <v>38</v>
      </c>
      <c r="M51" t="str">
        <v>Male</v>
      </c>
      <c r="N51" t="str">
        <v>55+</v>
      </c>
      <c r="O51">
        <v>1.1294117647058823</v>
      </c>
      <c r="P51">
        <v>1.1035796523691053</v>
      </c>
    </row>
    <row r="52" spans="2:16" x14ac:dyDescent="0.25">
      <c r="B52">
        <v>41</v>
      </c>
      <c r="C52" t="s">
        <v>10</v>
      </c>
      <c r="D52" t="s">
        <v>11</v>
      </c>
      <c r="E52">
        <f>(_xlfn.XLOOKUP(C52,GenderWeights[Group],GenderWeights[Proportion])*_xlfn.XLOOKUP(D52,AgeWeights[Group],AgeWeights[Proportion]))/
(COUNTIFS(raw_data[gender],C52,raw_data[age_group],D52)/COUNTA(raw_data[id]))</f>
        <v>1.1294117647058823</v>
      </c>
      <c r="L52">
        <v>39</v>
      </c>
      <c r="M52" t="str">
        <v>Male</v>
      </c>
      <c r="N52" t="str">
        <v>18-34</v>
      </c>
      <c r="O52">
        <v>1.1076923076923075</v>
      </c>
      <c r="P52">
        <v>0.93035705029072746</v>
      </c>
    </row>
    <row r="53" spans="2:16" x14ac:dyDescent="0.25">
      <c r="B53">
        <v>42</v>
      </c>
      <c r="C53" t="s">
        <v>10</v>
      </c>
      <c r="D53" t="s">
        <v>13</v>
      </c>
      <c r="E53">
        <f>(_xlfn.XLOOKUP(C53,GenderWeights[Group],GenderWeights[Proportion])*_xlfn.XLOOKUP(D53,AgeWeights[Group],AgeWeights[Proportion]))/
(COUNTIFS(raw_data[gender],C53,raw_data[age_group],D53)/COUNTA(raw_data[id]))</f>
        <v>1.0285714285714285</v>
      </c>
      <c r="L53">
        <v>40</v>
      </c>
      <c r="M53" t="str">
        <v>Male</v>
      </c>
      <c r="N53" t="str">
        <v>35-54</v>
      </c>
      <c r="O53">
        <v>1.0285714285714285</v>
      </c>
      <c r="P53">
        <v>1.2246074511967762</v>
      </c>
    </row>
    <row r="54" spans="2:16" x14ac:dyDescent="0.25">
      <c r="B54">
        <v>43</v>
      </c>
      <c r="C54" t="s">
        <v>12</v>
      </c>
      <c r="D54" t="s">
        <v>14</v>
      </c>
      <c r="E54">
        <f>(_xlfn.XLOOKUP(C54,GenderWeights[Group],GenderWeights[Proportion])*_xlfn.XLOOKUP(D54,AgeWeights[Group],AgeWeights[Proportion]))/
(COUNTIFS(raw_data[gender],C54,raw_data[age_group],D54)/COUNTA(raw_data[id]))</f>
        <v>0.70909090909090911</v>
      </c>
      <c r="L54">
        <v>41</v>
      </c>
      <c r="M54" t="str">
        <v>Male</v>
      </c>
      <c r="N54" t="str">
        <v>55+</v>
      </c>
      <c r="O54">
        <v>1.1294117647058823</v>
      </c>
      <c r="P54">
        <v>1.1035796523691053</v>
      </c>
    </row>
    <row r="55" spans="2:16" x14ac:dyDescent="0.25">
      <c r="B55">
        <v>44</v>
      </c>
      <c r="C55" t="s">
        <v>12</v>
      </c>
      <c r="D55" t="s">
        <v>11</v>
      </c>
      <c r="E55">
        <f>(_xlfn.XLOOKUP(C55,GenderWeights[Group],GenderWeights[Proportion])*_xlfn.XLOOKUP(D55,AgeWeights[Group],AgeWeights[Proportion]))/
(COUNTIFS(raw_data[gender],C55,raw_data[age_group],D55)/COUNTA(raw_data[id]))</f>
        <v>0.94545454545454555</v>
      </c>
      <c r="L55">
        <v>42</v>
      </c>
      <c r="M55" t="str">
        <v>Male</v>
      </c>
      <c r="N55" t="str">
        <v>35-54</v>
      </c>
      <c r="O55">
        <v>1.0285714285714285</v>
      </c>
      <c r="P55">
        <v>1.2246074511967762</v>
      </c>
    </row>
    <row r="56" spans="2:16" x14ac:dyDescent="0.25">
      <c r="B56">
        <v>45</v>
      </c>
      <c r="C56" t="s">
        <v>12</v>
      </c>
      <c r="D56" t="s">
        <v>14</v>
      </c>
      <c r="E56">
        <f>(_xlfn.XLOOKUP(C56,GenderWeights[Group],GenderWeights[Proportion])*_xlfn.XLOOKUP(D56,AgeWeights[Group],AgeWeights[Proportion]))/
(COUNTIFS(raw_data[gender],C56,raw_data[age_group],D56)/COUNTA(raw_data[id]))</f>
        <v>0.70909090909090911</v>
      </c>
      <c r="L56">
        <v>43</v>
      </c>
      <c r="M56" t="str">
        <v>Female</v>
      </c>
      <c r="N56" t="str">
        <v>18-34</v>
      </c>
      <c r="O56">
        <v>0.70909090909090911</v>
      </c>
      <c r="P56">
        <v>0.81387992482820615</v>
      </c>
    </row>
    <row r="57" spans="2:16" x14ac:dyDescent="0.25">
      <c r="B57">
        <v>46</v>
      </c>
      <c r="C57" t="s">
        <v>12</v>
      </c>
      <c r="D57" t="s">
        <v>13</v>
      </c>
      <c r="E57">
        <f>(_xlfn.XLOOKUP(C57,GenderWeights[Group],GenderWeights[Proportion])*_xlfn.XLOOKUP(D57,AgeWeights[Group],AgeWeights[Proportion]))/
(COUNTIFS(raw_data[gender],C57,raw_data[age_group],D57)/COUNTA(raw_data[id]))</f>
        <v>1.3</v>
      </c>
      <c r="L57">
        <v>44</v>
      </c>
      <c r="M57" t="str">
        <v>Female</v>
      </c>
      <c r="N57" t="str">
        <v>55+</v>
      </c>
      <c r="O57">
        <v>0.94545454545454555</v>
      </c>
      <c r="P57">
        <v>0.96541572316932744</v>
      </c>
    </row>
    <row r="58" spans="2:16" x14ac:dyDescent="0.25">
      <c r="B58">
        <v>47</v>
      </c>
      <c r="C58" t="s">
        <v>12</v>
      </c>
      <c r="D58" t="s">
        <v>14</v>
      </c>
      <c r="E58">
        <f>(_xlfn.XLOOKUP(C58,GenderWeights[Group],GenderWeights[Proportion])*_xlfn.XLOOKUP(D58,AgeWeights[Group],AgeWeights[Proportion]))/
(COUNTIFS(raw_data[gender],C58,raw_data[age_group],D58)/COUNTA(raw_data[id]))</f>
        <v>0.70909090909090911</v>
      </c>
      <c r="L58">
        <v>45</v>
      </c>
      <c r="M58" t="str">
        <v>Female</v>
      </c>
      <c r="N58" t="str">
        <v>18-34</v>
      </c>
      <c r="O58">
        <v>0.70909090909090911</v>
      </c>
      <c r="P58">
        <v>0.81387992482820615</v>
      </c>
    </row>
    <row r="59" spans="2:16" x14ac:dyDescent="0.25">
      <c r="B59">
        <v>48</v>
      </c>
      <c r="C59" t="s">
        <v>10</v>
      </c>
      <c r="D59" t="s">
        <v>11</v>
      </c>
      <c r="E59">
        <f>(_xlfn.XLOOKUP(C59,GenderWeights[Group],GenderWeights[Proportion])*_xlfn.XLOOKUP(D59,AgeWeights[Group],AgeWeights[Proportion]))/
(COUNTIFS(raw_data[gender],C59,raw_data[age_group],D59)/COUNTA(raw_data[id]))</f>
        <v>1.1294117647058823</v>
      </c>
      <c r="L59">
        <v>46</v>
      </c>
      <c r="M59" t="str">
        <v>Female</v>
      </c>
      <c r="N59" t="str">
        <v>35-54</v>
      </c>
      <c r="O59">
        <v>1.3</v>
      </c>
      <c r="P59">
        <v>1.0712913069370937</v>
      </c>
    </row>
    <row r="60" spans="2:16" x14ac:dyDescent="0.25">
      <c r="B60">
        <v>49</v>
      </c>
      <c r="C60" t="s">
        <v>12</v>
      </c>
      <c r="D60" t="s">
        <v>11</v>
      </c>
      <c r="E60">
        <f>(_xlfn.XLOOKUP(C60,GenderWeights[Group],GenderWeights[Proportion])*_xlfn.XLOOKUP(D60,AgeWeights[Group],AgeWeights[Proportion]))/
(COUNTIFS(raw_data[gender],C60,raw_data[age_group],D60)/COUNTA(raw_data[id]))</f>
        <v>0.94545454545454555</v>
      </c>
      <c r="L60">
        <v>47</v>
      </c>
      <c r="M60" t="str">
        <v>Female</v>
      </c>
      <c r="N60" t="str">
        <v>18-34</v>
      </c>
      <c r="O60">
        <v>0.70909090909090911</v>
      </c>
      <c r="P60">
        <v>0.81387992482820615</v>
      </c>
    </row>
    <row r="61" spans="2:16" x14ac:dyDescent="0.25">
      <c r="B61">
        <v>50</v>
      </c>
      <c r="C61" t="s">
        <v>12</v>
      </c>
      <c r="D61" t="s">
        <v>13</v>
      </c>
      <c r="E61">
        <f>(_xlfn.XLOOKUP(C61,GenderWeights[Group],GenderWeights[Proportion])*_xlfn.XLOOKUP(D61,AgeWeights[Group],AgeWeights[Proportion]))/
(COUNTIFS(raw_data[gender],C61,raw_data[age_group],D61)/COUNTA(raw_data[id]))</f>
        <v>1.3</v>
      </c>
      <c r="L61">
        <v>48</v>
      </c>
      <c r="M61" t="str">
        <v>Male</v>
      </c>
      <c r="N61" t="str">
        <v>55+</v>
      </c>
      <c r="O61">
        <v>1.1294117647058823</v>
      </c>
      <c r="P61">
        <v>1.1035796523691053</v>
      </c>
    </row>
    <row r="62" spans="2:16" x14ac:dyDescent="0.25">
      <c r="B62">
        <v>51</v>
      </c>
      <c r="C62" t="s">
        <v>10</v>
      </c>
      <c r="D62" t="s">
        <v>14</v>
      </c>
      <c r="E62">
        <f>(_xlfn.XLOOKUP(C62,GenderWeights[Group],GenderWeights[Proportion])*_xlfn.XLOOKUP(D62,AgeWeights[Group],AgeWeights[Proportion]))/
(COUNTIFS(raw_data[gender],C62,raw_data[age_group],D62)/COUNTA(raw_data[id]))</f>
        <v>1.1076923076923075</v>
      </c>
      <c r="L62">
        <v>49</v>
      </c>
      <c r="M62" t="str">
        <v>Female</v>
      </c>
      <c r="N62" t="str">
        <v>55+</v>
      </c>
      <c r="O62">
        <v>0.94545454545454555</v>
      </c>
      <c r="P62">
        <v>0.96541572316932744</v>
      </c>
    </row>
    <row r="63" spans="2:16" x14ac:dyDescent="0.25">
      <c r="B63">
        <v>52</v>
      </c>
      <c r="C63" t="s">
        <v>12</v>
      </c>
      <c r="D63" t="s">
        <v>11</v>
      </c>
      <c r="E63">
        <f>(_xlfn.XLOOKUP(C63,GenderWeights[Group],GenderWeights[Proportion])*_xlfn.XLOOKUP(D63,AgeWeights[Group],AgeWeights[Proportion]))/
(COUNTIFS(raw_data[gender],C63,raw_data[age_group],D63)/COUNTA(raw_data[id]))</f>
        <v>0.94545454545454555</v>
      </c>
      <c r="L63">
        <v>50</v>
      </c>
      <c r="M63" t="str">
        <v>Female</v>
      </c>
      <c r="N63" t="str">
        <v>35-54</v>
      </c>
      <c r="O63">
        <v>1.3</v>
      </c>
      <c r="P63">
        <v>1.0712913069370937</v>
      </c>
    </row>
    <row r="64" spans="2:16" x14ac:dyDescent="0.25">
      <c r="B64">
        <v>53</v>
      </c>
      <c r="C64" t="s">
        <v>10</v>
      </c>
      <c r="D64" t="s">
        <v>13</v>
      </c>
      <c r="E64">
        <f>(_xlfn.XLOOKUP(C64,GenderWeights[Group],GenderWeights[Proportion])*_xlfn.XLOOKUP(D64,AgeWeights[Group],AgeWeights[Proportion]))/
(COUNTIFS(raw_data[gender],C64,raw_data[age_group],D64)/COUNTA(raw_data[id]))</f>
        <v>1.0285714285714285</v>
      </c>
      <c r="L64">
        <v>51</v>
      </c>
      <c r="M64" t="str">
        <v>Male</v>
      </c>
      <c r="N64" t="str">
        <v>18-34</v>
      </c>
      <c r="O64">
        <v>1.1076923076923075</v>
      </c>
      <c r="P64">
        <v>0.93035705029072746</v>
      </c>
    </row>
    <row r="65" spans="2:16" x14ac:dyDescent="0.25">
      <c r="B65">
        <v>54</v>
      </c>
      <c r="C65" t="s">
        <v>12</v>
      </c>
      <c r="D65" t="s">
        <v>11</v>
      </c>
      <c r="E65">
        <f>(_xlfn.XLOOKUP(C65,GenderWeights[Group],GenderWeights[Proportion])*_xlfn.XLOOKUP(D65,AgeWeights[Group],AgeWeights[Proportion]))/
(COUNTIFS(raw_data[gender],C65,raw_data[age_group],D65)/COUNTA(raw_data[id]))</f>
        <v>0.94545454545454555</v>
      </c>
      <c r="L65">
        <v>52</v>
      </c>
      <c r="M65" t="str">
        <v>Female</v>
      </c>
      <c r="N65" t="str">
        <v>55+</v>
      </c>
      <c r="O65">
        <v>0.94545454545454555</v>
      </c>
      <c r="P65">
        <v>0.96541572316932744</v>
      </c>
    </row>
    <row r="66" spans="2:16" x14ac:dyDescent="0.25">
      <c r="B66">
        <v>55</v>
      </c>
      <c r="C66" t="s">
        <v>10</v>
      </c>
      <c r="D66" t="s">
        <v>11</v>
      </c>
      <c r="E66">
        <f>(_xlfn.XLOOKUP(C66,GenderWeights[Group],GenderWeights[Proportion])*_xlfn.XLOOKUP(D66,AgeWeights[Group],AgeWeights[Proportion]))/
(COUNTIFS(raw_data[gender],C66,raw_data[age_group],D66)/COUNTA(raw_data[id]))</f>
        <v>1.1294117647058823</v>
      </c>
      <c r="L66">
        <v>53</v>
      </c>
      <c r="M66" t="str">
        <v>Male</v>
      </c>
      <c r="N66" t="str">
        <v>35-54</v>
      </c>
      <c r="O66">
        <v>1.0285714285714285</v>
      </c>
      <c r="P66">
        <v>1.2246074511967762</v>
      </c>
    </row>
    <row r="67" spans="2:16" x14ac:dyDescent="0.25">
      <c r="B67">
        <v>56</v>
      </c>
      <c r="C67" t="s">
        <v>12</v>
      </c>
      <c r="D67" t="s">
        <v>14</v>
      </c>
      <c r="E67">
        <f>(_xlfn.XLOOKUP(C67,GenderWeights[Group],GenderWeights[Proportion])*_xlfn.XLOOKUP(D67,AgeWeights[Group],AgeWeights[Proportion]))/
(COUNTIFS(raw_data[gender],C67,raw_data[age_group],D67)/COUNTA(raw_data[id]))</f>
        <v>0.70909090909090911</v>
      </c>
      <c r="L67">
        <v>54</v>
      </c>
      <c r="M67" t="str">
        <v>Female</v>
      </c>
      <c r="N67" t="str">
        <v>55+</v>
      </c>
      <c r="O67">
        <v>0.94545454545454555</v>
      </c>
      <c r="P67">
        <v>0.96541572316932744</v>
      </c>
    </row>
    <row r="68" spans="2:16" x14ac:dyDescent="0.25">
      <c r="B68">
        <v>57</v>
      </c>
      <c r="C68" t="s">
        <v>12</v>
      </c>
      <c r="D68" t="s">
        <v>11</v>
      </c>
      <c r="E68">
        <f>(_xlfn.XLOOKUP(C68,GenderWeights[Group],GenderWeights[Proportion])*_xlfn.XLOOKUP(D68,AgeWeights[Group],AgeWeights[Proportion]))/
(COUNTIFS(raw_data[gender],C68,raw_data[age_group],D68)/COUNTA(raw_data[id]))</f>
        <v>0.94545454545454555</v>
      </c>
      <c r="L68">
        <v>55</v>
      </c>
      <c r="M68" t="str">
        <v>Male</v>
      </c>
      <c r="N68" t="str">
        <v>55+</v>
      </c>
      <c r="O68">
        <v>1.1294117647058823</v>
      </c>
      <c r="P68">
        <v>1.1035796523691053</v>
      </c>
    </row>
    <row r="69" spans="2:16" x14ac:dyDescent="0.25">
      <c r="B69">
        <v>58</v>
      </c>
      <c r="C69" t="s">
        <v>10</v>
      </c>
      <c r="D69" t="s">
        <v>14</v>
      </c>
      <c r="E69">
        <f>(_xlfn.XLOOKUP(C69,GenderWeights[Group],GenderWeights[Proportion])*_xlfn.XLOOKUP(D69,AgeWeights[Group],AgeWeights[Proportion]))/
(COUNTIFS(raw_data[gender],C69,raw_data[age_group],D69)/COUNTA(raw_data[id]))</f>
        <v>1.1076923076923075</v>
      </c>
      <c r="L69">
        <v>56</v>
      </c>
      <c r="M69" t="str">
        <v>Female</v>
      </c>
      <c r="N69" t="str">
        <v>18-34</v>
      </c>
      <c r="O69">
        <v>0.70909090909090911</v>
      </c>
      <c r="P69">
        <v>0.81387992482820615</v>
      </c>
    </row>
    <row r="70" spans="2:16" x14ac:dyDescent="0.25">
      <c r="B70">
        <v>59</v>
      </c>
      <c r="C70" t="s">
        <v>10</v>
      </c>
      <c r="D70" t="s">
        <v>11</v>
      </c>
      <c r="E70">
        <f>(_xlfn.XLOOKUP(C70,GenderWeights[Group],GenderWeights[Proportion])*_xlfn.XLOOKUP(D70,AgeWeights[Group],AgeWeights[Proportion]))/
(COUNTIFS(raw_data[gender],C70,raw_data[age_group],D70)/COUNTA(raw_data[id]))</f>
        <v>1.1294117647058823</v>
      </c>
      <c r="L70">
        <v>57</v>
      </c>
      <c r="M70" t="str">
        <v>Female</v>
      </c>
      <c r="N70" t="str">
        <v>55+</v>
      </c>
      <c r="O70">
        <v>0.94545454545454555</v>
      </c>
      <c r="P70">
        <v>0.96541572316932744</v>
      </c>
    </row>
    <row r="71" spans="2:16" x14ac:dyDescent="0.25">
      <c r="B71">
        <v>60</v>
      </c>
      <c r="C71" t="s">
        <v>10</v>
      </c>
      <c r="D71" t="s">
        <v>13</v>
      </c>
      <c r="E71">
        <f>(_xlfn.XLOOKUP(C71,GenderWeights[Group],GenderWeights[Proportion])*_xlfn.XLOOKUP(D71,AgeWeights[Group],AgeWeights[Proportion]))/
(COUNTIFS(raw_data[gender],C71,raw_data[age_group],D71)/COUNTA(raw_data[id]))</f>
        <v>1.0285714285714285</v>
      </c>
      <c r="L71">
        <v>58</v>
      </c>
      <c r="M71" t="str">
        <v>Male</v>
      </c>
      <c r="N71" t="str">
        <v>18-34</v>
      </c>
      <c r="O71">
        <v>1.1076923076923075</v>
      </c>
      <c r="P71">
        <v>0.93035705029072746</v>
      </c>
    </row>
    <row r="72" spans="2:16" x14ac:dyDescent="0.25">
      <c r="B72">
        <v>61</v>
      </c>
      <c r="C72" t="s">
        <v>10</v>
      </c>
      <c r="D72" t="s">
        <v>11</v>
      </c>
      <c r="E72">
        <f>(_xlfn.XLOOKUP(C72,GenderWeights[Group],GenderWeights[Proportion])*_xlfn.XLOOKUP(D72,AgeWeights[Group],AgeWeights[Proportion]))/
(COUNTIFS(raw_data[gender],C72,raw_data[age_group],D72)/COUNTA(raw_data[id]))</f>
        <v>1.1294117647058823</v>
      </c>
      <c r="L72">
        <v>59</v>
      </c>
      <c r="M72" t="str">
        <v>Male</v>
      </c>
      <c r="N72" t="str">
        <v>55+</v>
      </c>
      <c r="O72">
        <v>1.1294117647058823</v>
      </c>
      <c r="P72">
        <v>1.1035796523691053</v>
      </c>
    </row>
    <row r="73" spans="2:16" x14ac:dyDescent="0.25">
      <c r="B73">
        <v>62</v>
      </c>
      <c r="C73" t="s">
        <v>10</v>
      </c>
      <c r="D73" t="s">
        <v>14</v>
      </c>
      <c r="E73">
        <f>(_xlfn.XLOOKUP(C73,GenderWeights[Group],GenderWeights[Proportion])*_xlfn.XLOOKUP(D73,AgeWeights[Group],AgeWeights[Proportion]))/
(COUNTIFS(raw_data[gender],C73,raw_data[age_group],D73)/COUNTA(raw_data[id]))</f>
        <v>1.1076923076923075</v>
      </c>
      <c r="L73">
        <v>60</v>
      </c>
      <c r="M73" t="str">
        <v>Male</v>
      </c>
      <c r="N73" t="str">
        <v>35-54</v>
      </c>
      <c r="O73">
        <v>1.0285714285714285</v>
      </c>
      <c r="P73">
        <v>1.2246074511967762</v>
      </c>
    </row>
    <row r="74" spans="2:16" x14ac:dyDescent="0.25">
      <c r="B74">
        <v>63</v>
      </c>
      <c r="C74" t="s">
        <v>10</v>
      </c>
      <c r="D74" t="s">
        <v>14</v>
      </c>
      <c r="E74">
        <f>(_xlfn.XLOOKUP(C74,GenderWeights[Group],GenderWeights[Proportion])*_xlfn.XLOOKUP(D74,AgeWeights[Group],AgeWeights[Proportion]))/
(COUNTIFS(raw_data[gender],C74,raw_data[age_group],D74)/COUNTA(raw_data[id]))</f>
        <v>1.1076923076923075</v>
      </c>
      <c r="L74">
        <v>61</v>
      </c>
      <c r="M74" t="str">
        <v>Male</v>
      </c>
      <c r="N74" t="str">
        <v>55+</v>
      </c>
      <c r="O74">
        <v>1.1294117647058823</v>
      </c>
      <c r="P74">
        <v>1.1035796523691053</v>
      </c>
    </row>
    <row r="75" spans="2:16" x14ac:dyDescent="0.25">
      <c r="B75">
        <v>64</v>
      </c>
      <c r="C75" t="s">
        <v>10</v>
      </c>
      <c r="D75" t="s">
        <v>13</v>
      </c>
      <c r="E75">
        <f>(_xlfn.XLOOKUP(C75,GenderWeights[Group],GenderWeights[Proportion])*_xlfn.XLOOKUP(D75,AgeWeights[Group],AgeWeights[Proportion]))/
(COUNTIFS(raw_data[gender],C75,raw_data[age_group],D75)/COUNTA(raw_data[id]))</f>
        <v>1.0285714285714285</v>
      </c>
      <c r="L75">
        <v>62</v>
      </c>
      <c r="M75" t="str">
        <v>Male</v>
      </c>
      <c r="N75" t="str">
        <v>18-34</v>
      </c>
      <c r="O75">
        <v>1.1076923076923075</v>
      </c>
      <c r="P75">
        <v>0.93035705029072746</v>
      </c>
    </row>
    <row r="76" spans="2:16" x14ac:dyDescent="0.25">
      <c r="B76">
        <v>65</v>
      </c>
      <c r="C76" t="s">
        <v>10</v>
      </c>
      <c r="D76" t="s">
        <v>11</v>
      </c>
      <c r="E76">
        <f>(_xlfn.XLOOKUP(C76,GenderWeights[Group],GenderWeights[Proportion])*_xlfn.XLOOKUP(D76,AgeWeights[Group],AgeWeights[Proportion]))/
(COUNTIFS(raw_data[gender],C76,raw_data[age_group],D76)/COUNTA(raw_data[id]))</f>
        <v>1.1294117647058823</v>
      </c>
      <c r="L76">
        <v>63</v>
      </c>
      <c r="M76" t="str">
        <v>Male</v>
      </c>
      <c r="N76" t="str">
        <v>18-34</v>
      </c>
      <c r="O76">
        <v>1.1076923076923075</v>
      </c>
      <c r="P76">
        <v>0.93035705029072746</v>
      </c>
    </row>
    <row r="77" spans="2:16" x14ac:dyDescent="0.25">
      <c r="B77">
        <v>66</v>
      </c>
      <c r="C77" t="s">
        <v>12</v>
      </c>
      <c r="D77" t="s">
        <v>11</v>
      </c>
      <c r="E77">
        <f>(_xlfn.XLOOKUP(C77,GenderWeights[Group],GenderWeights[Proportion])*_xlfn.XLOOKUP(D77,AgeWeights[Group],AgeWeights[Proportion]))/
(COUNTIFS(raw_data[gender],C77,raw_data[age_group],D77)/COUNTA(raw_data[id]))</f>
        <v>0.94545454545454555</v>
      </c>
      <c r="L77">
        <v>64</v>
      </c>
      <c r="M77" t="str">
        <v>Male</v>
      </c>
      <c r="N77" t="str">
        <v>35-54</v>
      </c>
      <c r="O77">
        <v>1.0285714285714285</v>
      </c>
      <c r="P77">
        <v>1.2246074511967762</v>
      </c>
    </row>
    <row r="78" spans="2:16" x14ac:dyDescent="0.25">
      <c r="B78">
        <v>67</v>
      </c>
      <c r="C78" t="s">
        <v>12</v>
      </c>
      <c r="D78" t="s">
        <v>13</v>
      </c>
      <c r="E78">
        <f>(_xlfn.XLOOKUP(C78,GenderWeights[Group],GenderWeights[Proportion])*_xlfn.XLOOKUP(D78,AgeWeights[Group],AgeWeights[Proportion]))/
(COUNTIFS(raw_data[gender],C78,raw_data[age_group],D78)/COUNTA(raw_data[id]))</f>
        <v>1.3</v>
      </c>
      <c r="L78">
        <v>65</v>
      </c>
      <c r="M78" t="str">
        <v>Male</v>
      </c>
      <c r="N78" t="str">
        <v>55+</v>
      </c>
      <c r="O78">
        <v>1.1294117647058823</v>
      </c>
      <c r="P78">
        <v>1.1035796523691053</v>
      </c>
    </row>
    <row r="79" spans="2:16" x14ac:dyDescent="0.25">
      <c r="B79">
        <v>68</v>
      </c>
      <c r="C79" t="s">
        <v>10</v>
      </c>
      <c r="D79" t="s">
        <v>11</v>
      </c>
      <c r="E79">
        <f>(_xlfn.XLOOKUP(C79,GenderWeights[Group],GenderWeights[Proportion])*_xlfn.XLOOKUP(D79,AgeWeights[Group],AgeWeights[Proportion]))/
(COUNTIFS(raw_data[gender],C79,raw_data[age_group],D79)/COUNTA(raw_data[id]))</f>
        <v>1.1294117647058823</v>
      </c>
      <c r="L79">
        <v>66</v>
      </c>
      <c r="M79" t="str">
        <v>Female</v>
      </c>
      <c r="N79" t="str">
        <v>55+</v>
      </c>
      <c r="O79">
        <v>0.94545454545454555</v>
      </c>
      <c r="P79">
        <v>0.96541572316932744</v>
      </c>
    </row>
    <row r="80" spans="2:16" x14ac:dyDescent="0.25">
      <c r="B80">
        <v>69</v>
      </c>
      <c r="C80" t="s">
        <v>12</v>
      </c>
      <c r="D80" t="s">
        <v>11</v>
      </c>
      <c r="E80">
        <f>(_xlfn.XLOOKUP(C80,GenderWeights[Group],GenderWeights[Proportion])*_xlfn.XLOOKUP(D80,AgeWeights[Group],AgeWeights[Proportion]))/
(COUNTIFS(raw_data[gender],C80,raw_data[age_group],D80)/COUNTA(raw_data[id]))</f>
        <v>0.94545454545454555</v>
      </c>
      <c r="L80">
        <v>67</v>
      </c>
      <c r="M80" t="str">
        <v>Female</v>
      </c>
      <c r="N80" t="str">
        <v>35-54</v>
      </c>
      <c r="O80">
        <v>1.3</v>
      </c>
      <c r="P80">
        <v>1.0712913069370937</v>
      </c>
    </row>
    <row r="81" spans="2:16" x14ac:dyDescent="0.25">
      <c r="B81">
        <v>70</v>
      </c>
      <c r="C81" t="s">
        <v>12</v>
      </c>
      <c r="D81" t="s">
        <v>14</v>
      </c>
      <c r="E81">
        <f>(_xlfn.XLOOKUP(C81,GenderWeights[Group],GenderWeights[Proportion])*_xlfn.XLOOKUP(D81,AgeWeights[Group],AgeWeights[Proportion]))/
(COUNTIFS(raw_data[gender],C81,raw_data[age_group],D81)/COUNTA(raw_data[id]))</f>
        <v>0.70909090909090911</v>
      </c>
      <c r="L81">
        <v>68</v>
      </c>
      <c r="M81" t="str">
        <v>Male</v>
      </c>
      <c r="N81" t="str">
        <v>55+</v>
      </c>
      <c r="O81">
        <v>1.1294117647058823</v>
      </c>
      <c r="P81">
        <v>1.1035796523691053</v>
      </c>
    </row>
    <row r="82" spans="2:16" x14ac:dyDescent="0.25">
      <c r="B82">
        <v>71</v>
      </c>
      <c r="C82" t="s">
        <v>12</v>
      </c>
      <c r="D82" t="s">
        <v>11</v>
      </c>
      <c r="E82">
        <f>(_xlfn.XLOOKUP(C82,GenderWeights[Group],GenderWeights[Proportion])*_xlfn.XLOOKUP(D82,AgeWeights[Group],AgeWeights[Proportion]))/
(COUNTIFS(raw_data[gender],C82,raw_data[age_group],D82)/COUNTA(raw_data[id]))</f>
        <v>0.94545454545454555</v>
      </c>
      <c r="L82">
        <v>69</v>
      </c>
      <c r="M82" t="str">
        <v>Female</v>
      </c>
      <c r="N82" t="str">
        <v>55+</v>
      </c>
      <c r="O82">
        <v>0.94545454545454555</v>
      </c>
      <c r="P82">
        <v>0.96541572316932744</v>
      </c>
    </row>
    <row r="83" spans="2:16" x14ac:dyDescent="0.25">
      <c r="B83">
        <v>72</v>
      </c>
      <c r="C83" t="s">
        <v>12</v>
      </c>
      <c r="D83" t="s">
        <v>11</v>
      </c>
      <c r="E83">
        <f>(_xlfn.XLOOKUP(C83,GenderWeights[Group],GenderWeights[Proportion])*_xlfn.XLOOKUP(D83,AgeWeights[Group],AgeWeights[Proportion]))/
(COUNTIFS(raw_data[gender],C83,raw_data[age_group],D83)/COUNTA(raw_data[id]))</f>
        <v>0.94545454545454555</v>
      </c>
      <c r="L83">
        <v>70</v>
      </c>
      <c r="M83" t="str">
        <v>Female</v>
      </c>
      <c r="N83" t="str">
        <v>18-34</v>
      </c>
      <c r="O83">
        <v>0.70909090909090911</v>
      </c>
      <c r="P83">
        <v>0.81387992482820615</v>
      </c>
    </row>
    <row r="84" spans="2:16" x14ac:dyDescent="0.25">
      <c r="B84">
        <v>73</v>
      </c>
      <c r="C84" t="s">
        <v>10</v>
      </c>
      <c r="D84" t="s">
        <v>13</v>
      </c>
      <c r="E84">
        <f>(_xlfn.XLOOKUP(C84,GenderWeights[Group],GenderWeights[Proportion])*_xlfn.XLOOKUP(D84,AgeWeights[Group],AgeWeights[Proportion]))/
(COUNTIFS(raw_data[gender],C84,raw_data[age_group],D84)/COUNTA(raw_data[id]))</f>
        <v>1.0285714285714285</v>
      </c>
      <c r="L84">
        <v>71</v>
      </c>
      <c r="M84" t="str">
        <v>Female</v>
      </c>
      <c r="N84" t="str">
        <v>55+</v>
      </c>
      <c r="O84">
        <v>0.94545454545454555</v>
      </c>
      <c r="P84">
        <v>0.96541572316932744</v>
      </c>
    </row>
    <row r="85" spans="2:16" x14ac:dyDescent="0.25">
      <c r="B85">
        <v>74</v>
      </c>
      <c r="C85" t="s">
        <v>12</v>
      </c>
      <c r="D85" t="s">
        <v>13</v>
      </c>
      <c r="E85">
        <f>(_xlfn.XLOOKUP(C85,GenderWeights[Group],GenderWeights[Proportion])*_xlfn.XLOOKUP(D85,AgeWeights[Group],AgeWeights[Proportion]))/
(COUNTIFS(raw_data[gender],C85,raw_data[age_group],D85)/COUNTA(raw_data[id]))</f>
        <v>1.3</v>
      </c>
      <c r="L85">
        <v>72</v>
      </c>
      <c r="M85" t="str">
        <v>Female</v>
      </c>
      <c r="N85" t="str">
        <v>55+</v>
      </c>
      <c r="O85">
        <v>0.94545454545454555</v>
      </c>
      <c r="P85">
        <v>0.96541572316932744</v>
      </c>
    </row>
    <row r="86" spans="2:16" x14ac:dyDescent="0.25">
      <c r="B86">
        <v>75</v>
      </c>
      <c r="C86" t="s">
        <v>10</v>
      </c>
      <c r="D86" t="s">
        <v>14</v>
      </c>
      <c r="E86">
        <f>(_xlfn.XLOOKUP(C86,GenderWeights[Group],GenderWeights[Proportion])*_xlfn.XLOOKUP(D86,AgeWeights[Group],AgeWeights[Proportion]))/
(COUNTIFS(raw_data[gender],C86,raw_data[age_group],D86)/COUNTA(raw_data[id]))</f>
        <v>1.1076923076923075</v>
      </c>
      <c r="L86">
        <v>73</v>
      </c>
      <c r="M86" t="str">
        <v>Male</v>
      </c>
      <c r="N86" t="str">
        <v>35-54</v>
      </c>
      <c r="O86">
        <v>1.0285714285714285</v>
      </c>
      <c r="P86">
        <v>1.2246074511967762</v>
      </c>
    </row>
    <row r="87" spans="2:16" x14ac:dyDescent="0.25">
      <c r="B87">
        <v>76</v>
      </c>
      <c r="C87" t="s">
        <v>12</v>
      </c>
      <c r="D87" t="s">
        <v>11</v>
      </c>
      <c r="E87">
        <f>(_xlfn.XLOOKUP(C87,GenderWeights[Group],GenderWeights[Proportion])*_xlfn.XLOOKUP(D87,AgeWeights[Group],AgeWeights[Proportion]))/
(COUNTIFS(raw_data[gender],C87,raw_data[age_group],D87)/COUNTA(raw_data[id]))</f>
        <v>0.94545454545454555</v>
      </c>
      <c r="L87">
        <v>74</v>
      </c>
      <c r="M87" t="str">
        <v>Female</v>
      </c>
      <c r="N87" t="str">
        <v>35-54</v>
      </c>
      <c r="O87">
        <v>1.3</v>
      </c>
      <c r="P87">
        <v>1.0712913069370937</v>
      </c>
    </row>
    <row r="88" spans="2:16" x14ac:dyDescent="0.25">
      <c r="B88">
        <v>77</v>
      </c>
      <c r="C88" t="s">
        <v>12</v>
      </c>
      <c r="D88" t="s">
        <v>11</v>
      </c>
      <c r="E88">
        <f>(_xlfn.XLOOKUP(C88,GenderWeights[Group],GenderWeights[Proportion])*_xlfn.XLOOKUP(D88,AgeWeights[Group],AgeWeights[Proportion]))/
(COUNTIFS(raw_data[gender],C88,raw_data[age_group],D88)/COUNTA(raw_data[id]))</f>
        <v>0.94545454545454555</v>
      </c>
      <c r="L88">
        <v>75</v>
      </c>
      <c r="M88" t="str">
        <v>Male</v>
      </c>
      <c r="N88" t="str">
        <v>18-34</v>
      </c>
      <c r="O88">
        <v>1.1076923076923075</v>
      </c>
      <c r="P88">
        <v>0.93035705029072746</v>
      </c>
    </row>
    <row r="89" spans="2:16" x14ac:dyDescent="0.25">
      <c r="B89">
        <v>78</v>
      </c>
      <c r="C89" t="s">
        <v>12</v>
      </c>
      <c r="D89" t="s">
        <v>11</v>
      </c>
      <c r="E89">
        <f>(_xlfn.XLOOKUP(C89,GenderWeights[Group],GenderWeights[Proportion])*_xlfn.XLOOKUP(D89,AgeWeights[Group],AgeWeights[Proportion]))/
(COUNTIFS(raw_data[gender],C89,raw_data[age_group],D89)/COUNTA(raw_data[id]))</f>
        <v>0.94545454545454555</v>
      </c>
      <c r="L89">
        <v>76</v>
      </c>
      <c r="M89" t="str">
        <v>Female</v>
      </c>
      <c r="N89" t="str">
        <v>55+</v>
      </c>
      <c r="O89">
        <v>0.94545454545454555</v>
      </c>
      <c r="P89">
        <v>0.96541572316932744</v>
      </c>
    </row>
    <row r="90" spans="2:16" x14ac:dyDescent="0.25">
      <c r="B90">
        <v>79</v>
      </c>
      <c r="C90" t="s">
        <v>10</v>
      </c>
      <c r="D90" t="s">
        <v>14</v>
      </c>
      <c r="E90">
        <f>(_xlfn.XLOOKUP(C90,GenderWeights[Group],GenderWeights[Proportion])*_xlfn.XLOOKUP(D90,AgeWeights[Group],AgeWeights[Proportion]))/
(COUNTIFS(raw_data[gender],C90,raw_data[age_group],D90)/COUNTA(raw_data[id]))</f>
        <v>1.1076923076923075</v>
      </c>
      <c r="L90">
        <v>77</v>
      </c>
      <c r="M90" t="str">
        <v>Female</v>
      </c>
      <c r="N90" t="str">
        <v>55+</v>
      </c>
      <c r="O90">
        <v>0.94545454545454555</v>
      </c>
      <c r="P90">
        <v>0.96541572316932744</v>
      </c>
    </row>
    <row r="91" spans="2:16" x14ac:dyDescent="0.25">
      <c r="B91">
        <v>80</v>
      </c>
      <c r="C91" t="s">
        <v>12</v>
      </c>
      <c r="D91" t="s">
        <v>14</v>
      </c>
      <c r="E91">
        <f>(_xlfn.XLOOKUP(C91,GenderWeights[Group],GenderWeights[Proportion])*_xlfn.XLOOKUP(D91,AgeWeights[Group],AgeWeights[Proportion]))/
(COUNTIFS(raw_data[gender],C91,raw_data[age_group],D91)/COUNTA(raw_data[id]))</f>
        <v>0.70909090909090911</v>
      </c>
      <c r="L91">
        <v>78</v>
      </c>
      <c r="M91" t="str">
        <v>Female</v>
      </c>
      <c r="N91" t="str">
        <v>55+</v>
      </c>
      <c r="O91">
        <v>0.94545454545454555</v>
      </c>
      <c r="P91">
        <v>0.96541572316932744</v>
      </c>
    </row>
    <row r="92" spans="2:16" x14ac:dyDescent="0.25">
      <c r="B92">
        <v>81</v>
      </c>
      <c r="C92" t="s">
        <v>10</v>
      </c>
      <c r="D92" t="s">
        <v>13</v>
      </c>
      <c r="E92">
        <f>(_xlfn.XLOOKUP(C92,GenderWeights[Group],GenderWeights[Proportion])*_xlfn.XLOOKUP(D92,AgeWeights[Group],AgeWeights[Proportion]))/
(COUNTIFS(raw_data[gender],C92,raw_data[age_group],D92)/COUNTA(raw_data[id]))</f>
        <v>1.0285714285714285</v>
      </c>
      <c r="L92">
        <v>79</v>
      </c>
      <c r="M92" t="str">
        <v>Male</v>
      </c>
      <c r="N92" t="str">
        <v>18-34</v>
      </c>
      <c r="O92">
        <v>1.1076923076923075</v>
      </c>
      <c r="P92">
        <v>0.93035705029072746</v>
      </c>
    </row>
    <row r="93" spans="2:16" x14ac:dyDescent="0.25">
      <c r="B93">
        <v>82</v>
      </c>
      <c r="C93" t="s">
        <v>12</v>
      </c>
      <c r="D93" t="s">
        <v>14</v>
      </c>
      <c r="E93">
        <f>(_xlfn.XLOOKUP(C93,GenderWeights[Group],GenderWeights[Proportion])*_xlfn.XLOOKUP(D93,AgeWeights[Group],AgeWeights[Proportion]))/
(COUNTIFS(raw_data[gender],C93,raw_data[age_group],D93)/COUNTA(raw_data[id]))</f>
        <v>0.70909090909090911</v>
      </c>
      <c r="L93">
        <v>80</v>
      </c>
      <c r="M93" t="str">
        <v>Female</v>
      </c>
      <c r="N93" t="str">
        <v>18-34</v>
      </c>
      <c r="O93">
        <v>0.70909090909090911</v>
      </c>
      <c r="P93">
        <v>0.81387992482820615</v>
      </c>
    </row>
    <row r="94" spans="2:16" x14ac:dyDescent="0.25">
      <c r="B94">
        <v>83</v>
      </c>
      <c r="C94" t="s">
        <v>10</v>
      </c>
      <c r="D94" t="s">
        <v>11</v>
      </c>
      <c r="E94">
        <f>(_xlfn.XLOOKUP(C94,GenderWeights[Group],GenderWeights[Proportion])*_xlfn.XLOOKUP(D94,AgeWeights[Group],AgeWeights[Proportion]))/
(COUNTIFS(raw_data[gender],C94,raw_data[age_group],D94)/COUNTA(raw_data[id]))</f>
        <v>1.1294117647058823</v>
      </c>
      <c r="L94">
        <v>81</v>
      </c>
      <c r="M94" t="str">
        <v>Male</v>
      </c>
      <c r="N94" t="str">
        <v>35-54</v>
      </c>
      <c r="O94">
        <v>1.0285714285714285</v>
      </c>
      <c r="P94">
        <v>1.2246074511967762</v>
      </c>
    </row>
    <row r="95" spans="2:16" x14ac:dyDescent="0.25">
      <c r="B95">
        <v>84</v>
      </c>
      <c r="C95" t="s">
        <v>12</v>
      </c>
      <c r="D95" t="s">
        <v>11</v>
      </c>
      <c r="E95">
        <f>(_xlfn.XLOOKUP(C95,GenderWeights[Group],GenderWeights[Proportion])*_xlfn.XLOOKUP(D95,AgeWeights[Group],AgeWeights[Proportion]))/
(COUNTIFS(raw_data[gender],C95,raw_data[age_group],D95)/COUNTA(raw_data[id]))</f>
        <v>0.94545454545454555</v>
      </c>
      <c r="L95">
        <v>82</v>
      </c>
      <c r="M95" t="str">
        <v>Female</v>
      </c>
      <c r="N95" t="str">
        <v>18-34</v>
      </c>
      <c r="O95">
        <v>0.70909090909090911</v>
      </c>
      <c r="P95">
        <v>0.81387992482820615</v>
      </c>
    </row>
    <row r="96" spans="2:16" x14ac:dyDescent="0.25">
      <c r="B96">
        <v>85</v>
      </c>
      <c r="C96" t="s">
        <v>10</v>
      </c>
      <c r="D96" t="s">
        <v>14</v>
      </c>
      <c r="E96">
        <f>(_xlfn.XLOOKUP(C96,GenderWeights[Group],GenderWeights[Proportion])*_xlfn.XLOOKUP(D96,AgeWeights[Group],AgeWeights[Proportion]))/
(COUNTIFS(raw_data[gender],C96,raw_data[age_group],D96)/COUNTA(raw_data[id]))</f>
        <v>1.1076923076923075</v>
      </c>
      <c r="L96">
        <v>83</v>
      </c>
      <c r="M96" t="str">
        <v>Male</v>
      </c>
      <c r="N96" t="str">
        <v>55+</v>
      </c>
      <c r="O96">
        <v>1.1294117647058823</v>
      </c>
      <c r="P96">
        <v>1.1035796523691053</v>
      </c>
    </row>
    <row r="97" spans="2:16" x14ac:dyDescent="0.25">
      <c r="B97">
        <v>86</v>
      </c>
      <c r="C97" t="s">
        <v>10</v>
      </c>
      <c r="D97" t="s">
        <v>11</v>
      </c>
      <c r="E97">
        <f>(_xlfn.XLOOKUP(C97,GenderWeights[Group],GenderWeights[Proportion])*_xlfn.XLOOKUP(D97,AgeWeights[Group],AgeWeights[Proportion]))/
(COUNTIFS(raw_data[gender],C97,raw_data[age_group],D97)/COUNTA(raw_data[id]))</f>
        <v>1.1294117647058823</v>
      </c>
      <c r="L97">
        <v>84</v>
      </c>
      <c r="M97" t="str">
        <v>Female</v>
      </c>
      <c r="N97" t="str">
        <v>55+</v>
      </c>
      <c r="O97">
        <v>0.94545454545454555</v>
      </c>
      <c r="P97">
        <v>0.96541572316932744</v>
      </c>
    </row>
    <row r="98" spans="2:16" x14ac:dyDescent="0.25">
      <c r="B98">
        <v>87</v>
      </c>
      <c r="C98" t="s">
        <v>12</v>
      </c>
      <c r="D98" t="s">
        <v>11</v>
      </c>
      <c r="E98">
        <f>(_xlfn.XLOOKUP(C98,GenderWeights[Group],GenderWeights[Proportion])*_xlfn.XLOOKUP(D98,AgeWeights[Group],AgeWeights[Proportion]))/
(COUNTIFS(raw_data[gender],C98,raw_data[age_group],D98)/COUNTA(raw_data[id]))</f>
        <v>0.94545454545454555</v>
      </c>
      <c r="L98">
        <v>85</v>
      </c>
      <c r="M98" t="str">
        <v>Male</v>
      </c>
      <c r="N98" t="str">
        <v>18-34</v>
      </c>
      <c r="O98">
        <v>1.1076923076923075</v>
      </c>
      <c r="P98">
        <v>0.93035705029072746</v>
      </c>
    </row>
    <row r="99" spans="2:16" x14ac:dyDescent="0.25">
      <c r="B99">
        <v>88</v>
      </c>
      <c r="C99" t="s">
        <v>10</v>
      </c>
      <c r="D99" t="s">
        <v>14</v>
      </c>
      <c r="E99">
        <f>(_xlfn.XLOOKUP(C99,GenderWeights[Group],GenderWeights[Proportion])*_xlfn.XLOOKUP(D99,AgeWeights[Group],AgeWeights[Proportion]))/
(COUNTIFS(raw_data[gender],C99,raw_data[age_group],D99)/COUNTA(raw_data[id]))</f>
        <v>1.1076923076923075</v>
      </c>
      <c r="L99">
        <v>86</v>
      </c>
      <c r="M99" t="str">
        <v>Male</v>
      </c>
      <c r="N99" t="str">
        <v>55+</v>
      </c>
      <c r="O99">
        <v>1.1294117647058823</v>
      </c>
      <c r="P99">
        <v>1.1035796523691053</v>
      </c>
    </row>
    <row r="100" spans="2:16" x14ac:dyDescent="0.25">
      <c r="B100">
        <v>89</v>
      </c>
      <c r="C100" t="s">
        <v>12</v>
      </c>
      <c r="D100" t="s">
        <v>14</v>
      </c>
      <c r="E100">
        <f>(_xlfn.XLOOKUP(C100,GenderWeights[Group],GenderWeights[Proportion])*_xlfn.XLOOKUP(D100,AgeWeights[Group],AgeWeights[Proportion]))/
(COUNTIFS(raw_data[gender],C100,raw_data[age_group],D100)/COUNTA(raw_data[id]))</f>
        <v>0.70909090909090911</v>
      </c>
      <c r="L100">
        <v>87</v>
      </c>
      <c r="M100" t="str">
        <v>Female</v>
      </c>
      <c r="N100" t="str">
        <v>55+</v>
      </c>
      <c r="O100">
        <v>0.94545454545454555</v>
      </c>
      <c r="P100">
        <v>0.96541572316932744</v>
      </c>
    </row>
    <row r="101" spans="2:16" x14ac:dyDescent="0.25">
      <c r="B101">
        <v>90</v>
      </c>
      <c r="C101" t="s">
        <v>12</v>
      </c>
      <c r="D101" t="s">
        <v>11</v>
      </c>
      <c r="E101">
        <f>(_xlfn.XLOOKUP(C101,GenderWeights[Group],GenderWeights[Proportion])*_xlfn.XLOOKUP(D101,AgeWeights[Group],AgeWeights[Proportion]))/
(COUNTIFS(raw_data[gender],C101,raw_data[age_group],D101)/COUNTA(raw_data[id]))</f>
        <v>0.94545454545454555</v>
      </c>
      <c r="L101">
        <v>88</v>
      </c>
      <c r="M101" t="str">
        <v>Male</v>
      </c>
      <c r="N101" t="str">
        <v>18-34</v>
      </c>
      <c r="O101">
        <v>1.1076923076923075</v>
      </c>
      <c r="P101">
        <v>0.93035705029072746</v>
      </c>
    </row>
    <row r="102" spans="2:16" x14ac:dyDescent="0.25">
      <c r="B102">
        <v>91</v>
      </c>
      <c r="C102" t="s">
        <v>12</v>
      </c>
      <c r="D102" t="s">
        <v>11</v>
      </c>
      <c r="E102">
        <f>(_xlfn.XLOOKUP(C102,GenderWeights[Group],GenderWeights[Proportion])*_xlfn.XLOOKUP(D102,AgeWeights[Group],AgeWeights[Proportion]))/
(COUNTIFS(raw_data[gender],C102,raw_data[age_group],D102)/COUNTA(raw_data[id]))</f>
        <v>0.94545454545454555</v>
      </c>
      <c r="L102">
        <v>89</v>
      </c>
      <c r="M102" t="str">
        <v>Female</v>
      </c>
      <c r="N102" t="str">
        <v>18-34</v>
      </c>
      <c r="O102">
        <v>0.70909090909090911</v>
      </c>
      <c r="P102">
        <v>0.81387992482820615</v>
      </c>
    </row>
    <row r="103" spans="2:16" x14ac:dyDescent="0.25">
      <c r="B103">
        <v>92</v>
      </c>
      <c r="C103" t="s">
        <v>12</v>
      </c>
      <c r="D103" t="s">
        <v>11</v>
      </c>
      <c r="E103">
        <f>(_xlfn.XLOOKUP(C103,GenderWeights[Group],GenderWeights[Proportion])*_xlfn.XLOOKUP(D103,AgeWeights[Group],AgeWeights[Proportion]))/
(COUNTIFS(raw_data[gender],C103,raw_data[age_group],D103)/COUNTA(raw_data[id]))</f>
        <v>0.94545454545454555</v>
      </c>
      <c r="L103">
        <v>90</v>
      </c>
      <c r="M103" t="str">
        <v>Female</v>
      </c>
      <c r="N103" t="str">
        <v>55+</v>
      </c>
      <c r="O103">
        <v>0.94545454545454555</v>
      </c>
      <c r="P103">
        <v>0.96541572316932744</v>
      </c>
    </row>
    <row r="104" spans="2:16" x14ac:dyDescent="0.25">
      <c r="B104">
        <v>93</v>
      </c>
      <c r="C104" t="s">
        <v>12</v>
      </c>
      <c r="D104" t="s">
        <v>13</v>
      </c>
      <c r="E104">
        <f>(_xlfn.XLOOKUP(C104,GenderWeights[Group],GenderWeights[Proportion])*_xlfn.XLOOKUP(D104,AgeWeights[Group],AgeWeights[Proportion]))/
(COUNTIFS(raw_data[gender],C104,raw_data[age_group],D104)/COUNTA(raw_data[id]))</f>
        <v>1.3</v>
      </c>
      <c r="L104">
        <v>91</v>
      </c>
      <c r="M104" t="str">
        <v>Female</v>
      </c>
      <c r="N104" t="str">
        <v>55+</v>
      </c>
      <c r="O104">
        <v>0.94545454545454555</v>
      </c>
      <c r="P104">
        <v>0.96541572316932744</v>
      </c>
    </row>
    <row r="105" spans="2:16" x14ac:dyDescent="0.25">
      <c r="B105">
        <v>94</v>
      </c>
      <c r="C105" t="s">
        <v>12</v>
      </c>
      <c r="D105" t="s">
        <v>13</v>
      </c>
      <c r="E105">
        <f>(_xlfn.XLOOKUP(C105,GenderWeights[Group],GenderWeights[Proportion])*_xlfn.XLOOKUP(D105,AgeWeights[Group],AgeWeights[Proportion]))/
(COUNTIFS(raw_data[gender],C105,raw_data[age_group],D105)/COUNTA(raw_data[id]))</f>
        <v>1.3</v>
      </c>
      <c r="L105">
        <v>92</v>
      </c>
      <c r="M105" t="str">
        <v>Female</v>
      </c>
      <c r="N105" t="str">
        <v>55+</v>
      </c>
      <c r="O105">
        <v>0.94545454545454555</v>
      </c>
      <c r="P105">
        <v>0.96541572316932744</v>
      </c>
    </row>
    <row r="106" spans="2:16" x14ac:dyDescent="0.25">
      <c r="B106">
        <v>95</v>
      </c>
      <c r="C106" t="s">
        <v>12</v>
      </c>
      <c r="D106" t="s">
        <v>13</v>
      </c>
      <c r="E106">
        <f>(_xlfn.XLOOKUP(C106,GenderWeights[Group],GenderWeights[Proportion])*_xlfn.XLOOKUP(D106,AgeWeights[Group],AgeWeights[Proportion]))/
(COUNTIFS(raw_data[gender],C106,raw_data[age_group],D106)/COUNTA(raw_data[id]))</f>
        <v>1.3</v>
      </c>
      <c r="L106">
        <v>93</v>
      </c>
      <c r="M106" t="str">
        <v>Female</v>
      </c>
      <c r="N106" t="str">
        <v>35-54</v>
      </c>
      <c r="O106">
        <v>1.3</v>
      </c>
      <c r="P106">
        <v>1.0712913069370937</v>
      </c>
    </row>
    <row r="107" spans="2:16" x14ac:dyDescent="0.25">
      <c r="B107">
        <v>96</v>
      </c>
      <c r="C107" t="s">
        <v>12</v>
      </c>
      <c r="D107" t="s">
        <v>14</v>
      </c>
      <c r="E107">
        <f>(_xlfn.XLOOKUP(C107,GenderWeights[Group],GenderWeights[Proportion])*_xlfn.XLOOKUP(D107,AgeWeights[Group],AgeWeights[Proportion]))/
(COUNTIFS(raw_data[gender],C107,raw_data[age_group],D107)/COUNTA(raw_data[id]))</f>
        <v>0.70909090909090911</v>
      </c>
      <c r="L107">
        <v>94</v>
      </c>
      <c r="M107" t="str">
        <v>Female</v>
      </c>
      <c r="N107" t="str">
        <v>35-54</v>
      </c>
      <c r="O107">
        <v>1.3</v>
      </c>
      <c r="P107">
        <v>1.0712913069370937</v>
      </c>
    </row>
    <row r="108" spans="2:16" x14ac:dyDescent="0.25">
      <c r="B108">
        <v>97</v>
      </c>
      <c r="C108" t="s">
        <v>12</v>
      </c>
      <c r="D108" t="s">
        <v>13</v>
      </c>
      <c r="E108">
        <f>(_xlfn.XLOOKUP(C108,GenderWeights[Group],GenderWeights[Proportion])*_xlfn.XLOOKUP(D108,AgeWeights[Group],AgeWeights[Proportion]))/
(COUNTIFS(raw_data[gender],C108,raw_data[age_group],D108)/COUNTA(raw_data[id]))</f>
        <v>1.3</v>
      </c>
      <c r="L108">
        <v>95</v>
      </c>
      <c r="M108" t="str">
        <v>Female</v>
      </c>
      <c r="N108" t="str">
        <v>35-54</v>
      </c>
      <c r="O108">
        <v>1.3</v>
      </c>
      <c r="P108">
        <v>1.0712913069370937</v>
      </c>
    </row>
    <row r="109" spans="2:16" x14ac:dyDescent="0.25">
      <c r="B109">
        <v>98</v>
      </c>
      <c r="C109" t="s">
        <v>12</v>
      </c>
      <c r="D109" t="s">
        <v>14</v>
      </c>
      <c r="E109">
        <f>(_xlfn.XLOOKUP(C109,GenderWeights[Group],GenderWeights[Proportion])*_xlfn.XLOOKUP(D109,AgeWeights[Group],AgeWeights[Proportion]))/
(COUNTIFS(raw_data[gender],C109,raw_data[age_group],D109)/COUNTA(raw_data[id]))</f>
        <v>0.70909090909090911</v>
      </c>
      <c r="L109">
        <v>96</v>
      </c>
      <c r="M109" t="str">
        <v>Female</v>
      </c>
      <c r="N109" t="str">
        <v>18-34</v>
      </c>
      <c r="O109">
        <v>0.70909090909090911</v>
      </c>
      <c r="P109">
        <v>0.81387992482820615</v>
      </c>
    </row>
    <row r="110" spans="2:16" x14ac:dyDescent="0.25">
      <c r="B110">
        <v>99</v>
      </c>
      <c r="C110" t="s">
        <v>12</v>
      </c>
      <c r="D110" t="s">
        <v>14</v>
      </c>
      <c r="E110">
        <f>(_xlfn.XLOOKUP(C110,GenderWeights[Group],GenderWeights[Proportion])*_xlfn.XLOOKUP(D110,AgeWeights[Group],AgeWeights[Proportion]))/
(COUNTIFS(raw_data[gender],C110,raw_data[age_group],D110)/COUNTA(raw_data[id]))</f>
        <v>0.70909090909090911</v>
      </c>
      <c r="L110">
        <v>97</v>
      </c>
      <c r="M110" t="str">
        <v>Female</v>
      </c>
      <c r="N110" t="str">
        <v>35-54</v>
      </c>
      <c r="O110">
        <v>1.3</v>
      </c>
      <c r="P110">
        <v>1.0712913069370937</v>
      </c>
    </row>
    <row r="111" spans="2:16" x14ac:dyDescent="0.25">
      <c r="B111">
        <v>100</v>
      </c>
      <c r="C111" t="s">
        <v>10</v>
      </c>
      <c r="D111" t="s">
        <v>13</v>
      </c>
      <c r="E111">
        <f>(_xlfn.XLOOKUP(C111,GenderWeights[Group],GenderWeights[Proportion])*_xlfn.XLOOKUP(D111,AgeWeights[Group],AgeWeights[Proportion]))/
(COUNTIFS(raw_data[gender],C111,raw_data[age_group],D111)/COUNTA(raw_data[id]))</f>
        <v>1.0285714285714285</v>
      </c>
      <c r="L111">
        <v>98</v>
      </c>
      <c r="M111" t="str">
        <v>Female</v>
      </c>
      <c r="N111" t="str">
        <v>18-34</v>
      </c>
      <c r="O111">
        <v>0.70909090909090911</v>
      </c>
      <c r="P111">
        <v>0.81387992482820615</v>
      </c>
    </row>
    <row r="112" spans="2:16" x14ac:dyDescent="0.25">
      <c r="L112">
        <v>99</v>
      </c>
      <c r="M112" t="str">
        <v>Female</v>
      </c>
      <c r="N112" t="str">
        <v>18-34</v>
      </c>
      <c r="O112">
        <v>0.70909090909090911</v>
      </c>
      <c r="P112">
        <v>0.81387992482820615</v>
      </c>
    </row>
    <row r="113" spans="12:16" x14ac:dyDescent="0.25">
      <c r="L113">
        <v>100</v>
      </c>
      <c r="M113" t="str">
        <v>Male</v>
      </c>
      <c r="N113" t="str">
        <v>35-54</v>
      </c>
      <c r="O113">
        <v>1.0285714285714285</v>
      </c>
      <c r="P113">
        <v>1.2246074511967762</v>
      </c>
    </row>
  </sheetData>
  <mergeCells count="1">
    <mergeCell ref="B2:J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 Breuilly</dc:creator>
  <cp:lastModifiedBy>Andrew Le Breuilly</cp:lastModifiedBy>
  <dcterms:created xsi:type="dcterms:W3CDTF">2025-07-09T14:31:12Z</dcterms:created>
  <dcterms:modified xsi:type="dcterms:W3CDTF">2025-07-09T15:37:08Z</dcterms:modified>
</cp:coreProperties>
</file>
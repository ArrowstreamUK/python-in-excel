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arrowstreamanalytics-my.sharepoint.com/personal/andrew_arrowstream_co_uk/Documents/Documents/GitHub/python-in-excel/Getting started/"/>
    </mc:Choice>
  </mc:AlternateContent>
  <xr:revisionPtr revIDLastSave="49" documentId="8_{68B1EE44-EE51-4F8E-9F1B-857B7D4A1A03}" xr6:coauthVersionLast="47" xr6:coauthVersionMax="47" xr10:uidLastSave="{AB00D110-032B-47BB-83A3-CFF7ECB2376F}"/>
  <bookViews>
    <workbookView xWindow="105" yWindow="-16320" windowWidth="29040" windowHeight="16440" xr2:uid="{36314F3C-7E5D-4645-BA3F-AC0B91DF8DC9}"/>
  </bookViews>
  <sheets>
    <sheet name="Wordcloud" sheetId="1" r:id="rId1"/>
  </sheets>
  <externalReferences>
    <externalReference r:id="rId2"/>
  </externalReferences>
  <definedNames>
    <definedName name="shape">Wordcloud!$C$80</definedName>
    <definedName name="Slicer_Gender">#N/A</definedName>
    <definedName name="threshold">'[1]Fuzzy Logic'!$C$35</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1" i="1" l="1" a="1"/>
  <c r="C51" i="1" l="1"/>
  <c r="C55" i="1" a="1"/>
  <c r="C55" i="1" l="1"/>
  <c r="C57" i="1" a="1"/>
  <c r="C57" i="1" l="1"/>
  <c r="C60" i="1" a="1"/>
  <c r="C60" i="1" l="1"/>
  <c r="C63" i="1" a="1"/>
  <c r="C63" i="1" l="1"/>
  <c r="C66" i="1" a="1"/>
  <c r="C66" i="1" l="1"/>
  <c r="C69" i="1" a="1"/>
  <c r="C69" i="1" l="1"/>
  <c r="C78" i="1" a="1"/>
  <c r="C78" i="1" l="1"/>
  <c r="C82" i="1" a="1"/>
  <c r="C82" i="1"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9">
    <bk>
      <extLst>
        <ext uri="{3e2802c4-a4d2-4d8b-9148-e3be6c30e623}">
          <xlrd:rvb i="0"/>
        </ext>
      </extLst>
    </bk>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7"/>
        </ext>
      </extLst>
    </bk>
    <bk>
      <extLst>
        <ext uri="{3e2802c4-a4d2-4d8b-9148-e3be6c30e623}">
          <xlrd:rvb i="21"/>
        </ext>
      </extLst>
    </bk>
  </futureMetadata>
  <cellMetadata count="1">
    <bk>
      <rc t="1" v="0"/>
    </bk>
  </cellMetadata>
  <valueMetadata count="9">
    <bk>
      <rc t="2" v="0"/>
    </bk>
    <bk>
      <rc t="2" v="1"/>
    </bk>
    <bk>
      <rc t="2" v="2"/>
    </bk>
    <bk>
      <rc t="2" v="3"/>
    </bk>
    <bk>
      <rc t="2" v="4"/>
    </bk>
    <bk>
      <rc t="2" v="5"/>
    </bk>
    <bk>
      <rc t="2" v="6"/>
    </bk>
    <bk>
      <rc t="2" v="7"/>
    </bk>
    <bk>
      <rc t="2" v="8"/>
    </bk>
  </valueMetadata>
</metadata>
</file>

<file path=xl/python.xml><?xml version="1.0" encoding="utf-8"?>
<python xmlns="http://schemas.microsoft.com/office/spreadsheetml/2023/python">
  <environmentDefinition id="{882DD1B0-6546-4DFA-8A08-902A380B44EA}">
    <initialization userModified="1">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Scripts>
    <pythonScript>
      <code xml:space="preserve">
import matplotlib.pyplot as plt
from wordcloud import WordCloud, STOPWORDS</code>
    </pythonScript>
    <pythonScript>
      <code xml:space="preserve">
#get the table and store as a pandas dataframe
df_stopwords =xl(%P2%, headers=True)
# convert to a list 
list_stopwords = df_stopwords['Stop words'].dropna().tolist()</code>
    </pythonScript>
    <pythonScript>
      <code>#get the table and store as a pandas dataframe
df_comments =xl(%P2%, headers=True)
# convert to a list 
list_comments = df_comments['Comments'].dropna().tolist()</code>
    </pythonScript>
    <pythonScript>
      <code>#get the standard list of stopwords and add them to a list
custom_stopwords = set(STOPWORDS)
# add our additional stopwords
custom_stopwords.update(list_stopwords)
# not neccessary but return the stopwords object so we can view them 
custom_stopwords</code>
    </pythonScript>
    <pythonScript>
      <code xml:space="preserve">
# Combine list of comments into a single string
combine_comments = " ".join(list_comments)</code>
    </pythonScript>
    <pythonScript>
      <code xml:space="preserve">
#Create the wordcloud object and define the configuration that you want
wordcloud = WordCloud(width=800, height=400,
                      background_color="white",
                      max_words=150,
                      colormap="viridis",
                      stopwords=custom_stopwords
                      ) 
wordcloud.generate(combine_comments)</code>
    </pythonScript>
    <pythonScript>
      <code xml:space="preserve">
plt.figure(figsize=(10,5))
plt.imshow(wordcloud,interpolation="bilinear")
plt.axis("off")
plt.show()</code>
    </pythonScript>
    <pythonScript>
      <code>import numpy as np
def get_mask(shape, size=300, radius=130):
    x, y = np.ogrid[:size, :size]
    cx, cy = size // 2, size // 2
    if shape == "circle":
        m = (x - cx) ** 2 + (y - cy) ** 2 &gt; radius ** 2
    elif shape == "square":
        m = np.ones((size, size), dtype=int) * 255
        margin = (size - radius * 2) // 2
        m[margin: size - margin, margin: size - margin] = 0
        return m
    elif shape == "ellipse":
        m = ((x - cx) / (radius)) ** 2 + ((y - cy) / (radius / 2)) ** 2 &gt; 1
    elif shape == "diamond":
        m = np.abs(x - cx) + np.abs(y - cy) &gt; radius
    elif shape == "triangle":
        m = np.ones((size, size), dtype=int) * 255
        for i in range(size):
            for j in range(size):
                if j &gt; i:
                    m[i, j] = 0
    elif shape == "face":
        m = np.ones((size, size), dtype=int) * 255
        # Face outline (circle)
        face = (x - cx) ** 2 + (y - cy) ** 2 &lt;= (size // 2 - 10) ** 2
        m[face] = 0
        # Eyes
        eye1 = (x - cx + 50) ** 2 + (y - cy - 40) ** 2 &lt;= 10 ** 2
        eye2 = (x - cx - 50) ** 2 + (y - cy - 40) ** 2 &lt;= 10 ** 2
        m[eye1] = 255
        m[eye2] = 255
        # Mouth (simple horizontal line)
        mouth = (x &gt; cx - 40) &amp; (x &lt; cx + 40) &amp; (y &gt; cy + 40) &amp; (y &lt; cy + 50)
        m[mouth] = 255
        return m
    else:
        raise ValueError("Shape not supported. Choose circle, square, ellipse, diamond, triangle.")
    return 255 * m.astype(int)</code>
    </pythonScript>
    <pythonScript>
      <code>#get shape from user input
my_shape = xl(%P2%)
# Use circle, square, ellipse, diamond, triangle 
mask = get_mask(my_shape) 
#Create the wordcloud object and define the configuration that you want
wordcloud_with_mask = WordCloud(width=800, height=400,
                      background_color="white",
                      max_words=150,
                      colormap="viridis",
                      stopwords=custom_stopwords,
                      mask=mask)
wordcloud_with_mask.generate(combine_comments)
plt.figure(figsize=(10,5))
plt.imshow(wordcloud_with_mask,interpolation="bilinear")
plt.axis("off")
plt.show()</code>
    </pythonScript>
  </pythonScripts>
</python>
</file>

<file path=xl/sharedStrings.xml><?xml version="1.0" encoding="utf-8"?>
<sst xmlns="http://schemas.openxmlformats.org/spreadsheetml/2006/main" count="81" uniqueCount="58">
  <si>
    <t>Word clouds in Excel using Python</t>
  </si>
  <si>
    <t>Update the data in Comments table and add any exclude words to the Stop word table</t>
  </si>
  <si>
    <t>Stop Word Table</t>
  </si>
  <si>
    <t>Stop words</t>
  </si>
  <si>
    <t>coffee</t>
  </si>
  <si>
    <t>make</t>
  </si>
  <si>
    <t>Comments table</t>
  </si>
  <si>
    <t>Respondent</t>
  </si>
  <si>
    <t>Comments</t>
  </si>
  <si>
    <t>Gender</t>
  </si>
  <si>
    <t>Absolutely love this coffee shop! The espresso is rich and smooth, and the ambiance is perfect for working or relaxing.</t>
  </si>
  <si>
    <t>Male</t>
  </si>
  <si>
    <t xml:space="preserve"> </t>
  </si>
  <si>
    <t>The baristas are incredibly friendly and knowledgeable—they make the best flat white in town!</t>
  </si>
  <si>
    <t>Female</t>
  </si>
  <si>
    <t>A cozy little gem with fantastic pastries and the most aromatic coffee I've had in ages.</t>
  </si>
  <si>
    <t>I keep coming back for their pour-over coffee—so well-balanced and flavorful!</t>
  </si>
  <si>
    <t>The decor is stylish, the seats are comfortable, and the music is just the right volume.</t>
  </si>
  <si>
    <t>Their homemade syrups add such a unique twist to classic drinks—try the vanilla bean latte!</t>
  </si>
  <si>
    <t>Fast service, great coffee, and an overall welcoming vibe. A must-visit!</t>
  </si>
  <si>
    <t>A bit pricey, but the quality of the coffee and the experience make it worth every penny.</t>
  </si>
  <si>
    <t>This place is my go-to for a quiet morning coffee before work. Always consistent and delicious!</t>
  </si>
  <si>
    <t>Tried their cold brew, and it was phenomenal—strong, smooth, and not bitter at all.</t>
  </si>
  <si>
    <t>Great selection of alternative milks, making it super vegan-friendly.</t>
  </si>
  <si>
    <t>The latte art here is next-level. Almost too pretty to drink… but I do, and it’s always perfect!</t>
  </si>
  <si>
    <t>The staff remembers my name and order—feels like my second home!</t>
  </si>
  <si>
    <t>Their seasonal specials are always creative and delicious—I wish they kept them year-round!</t>
  </si>
  <si>
    <t>Love the community feel here. Great place to meet friends or even network with locals.</t>
  </si>
  <si>
    <t>I appreciate that they use ethically sourced beans. Makes me enjoy my coffee even more!</t>
  </si>
  <si>
    <t>Super fast WiFi, plenty of plugs, and comfortable seating make it a great spot to work remotely.</t>
  </si>
  <si>
    <t>The outdoor seating is a huge plus, especially on a sunny day!</t>
  </si>
  <si>
    <t>The croissants are buttery and flaky—pairs perfectly with their cappuccino!</t>
  </si>
  <si>
    <t>Sometimes the wait can be long, but it's worth it for the quality and care they put into each drink.</t>
  </si>
  <si>
    <t>Such a warm and inviting space! The rustic design and soft lighting make it so cozy.</t>
  </si>
  <si>
    <t>Their mocha is the perfect blend of rich chocolate and bold espresso—my new favorite treat!</t>
  </si>
  <si>
    <t>Friendly service, delicious drinks, and a laid-back atmosphere. What more could you ask for?</t>
  </si>
  <si>
    <t>Tried their espresso flight—such a fun way to experience different roasts and flavors!</t>
  </si>
  <si>
    <t>A true coffee lover's paradise. Every sip is pure perfection!</t>
  </si>
  <si>
    <t>Import the python libraries we want to use WordCloud and Matplotlib</t>
  </si>
  <si>
    <t>import matplotlib.pyplot as plt
from wordcloud import WordCloud, STOPWORDS</t>
  </si>
  <si>
    <t>Load the data from our tables into python</t>
  </si>
  <si>
    <t>#get the table and store as a pandas dataframe
df_stopwords =xl("WordcloudStopwordsTable[[#All],[Stop words]]", headers=True)
# convert to a list 
list_stopwords = df_stopwords['Stop words'].dropna().tolist()</t>
  </si>
  <si>
    <t>#get the table and store as a pandas dataframe
df_comments =xl("WordcloudCommentsTable[#All]", headers=True)
# convert to a list 
list_comments = df_comments['Comments'].dropna().tolist()</t>
  </si>
  <si>
    <t>Create the stop words</t>
  </si>
  <si>
    <t>#get the standard list of stopwords and add them to a list
custom_stopwords = set(STOPWORDS)
# add our additional stopwords
custom_stopwords.update(list_stopwords)
# not neccessary but return the stopwords object so we can view them 
custom_stopwords</t>
  </si>
  <si>
    <t>Combine all the comments into one big piece of text</t>
  </si>
  <si>
    <t># Combine list of comments into a single string
combine_comments = " ".join(list_comments)</t>
  </si>
  <si>
    <t>Define the wordcloud object</t>
  </si>
  <si>
    <t>#Create the wordcloud object and define the configuration that you want
wordcloud = WordCloud(width=800, height=400,
                      background_color="white",
                      max_words=150,
                      colormap="viridis",
                      stopwords=custom_stopwords
                      ) 
wordcloud.generate(combine_comments)</t>
  </si>
  <si>
    <t>Plot the wordcloud object using matplotlib</t>
  </si>
  <si>
    <t>plt.figure(figsize=(10,5))
plt.imshow(wordcloud,interpolation="bilinear")
plt.axis("off")
plt.show()</t>
  </si>
  <si>
    <t>Hidden gem make the wordlcoud different shapes</t>
  </si>
  <si>
    <t>(complicated bit define the mask shapes)</t>
  </si>
  <si>
    <t>import numpy as np
def get_mask(shape, size=300, radius=130):
    x, y = np.ogrid[:size, :size]
    cx, cy = size // 2, size // 2
    if shape == "circle":
        m = (x - cx) ** 2 + (y - cy) ** 2 &gt; radius ** 2
    elif shape == "square":
        m = np.ones((size, size), dtype=int) * 255
        margin = (size - radius * 2) // 2
        m[margin: size - margin, margin: size - margin] = 0
        return m
    elif shape == "ellipse":
        m = ((x - cx) / (radius)) ** 2 + ((y - cy) / (radius / 2)) ** 2 &gt; 1
    elif shape == "diamond":
        m = np.abs(x - cx) + np.abs(y - cy) &gt; radius
    elif shape == "triangle":
        m = np.ones((size, size), dtype=int) * 255
        for i in range(size):
            for j in range(size):
                if j &gt; i:
                    m[i, j] = 0
    elif shape == "face":
        m = np.ones((size, size), dtype=int) * 255
        # Face outline (circle)
        face = (x - cx) ** 2 + (y - cy) ** 2 &lt;= (size // 2 - 10) ** 2
        m[face] = 0
        # Eyes
        eye1 = (x - cx + 50) ** 2 + (y - cy - 40) ** 2 &lt;= 10 ** 2
        eye2 = (x - cx - 50) ** 2 + (y - cy - 40) ** 2 &lt;= 10 ** 2
        m[eye1] = 255
        m[eye2] = 255
        # Mouth (simple horizontal line)
        mouth = (x &gt; cx - 40) &amp; (x &lt; cx + 40) &amp; (y &gt; cy + 40) &amp; (y &lt; cy + 50)
        m[mouth] = 255
        return m
    else:
        raise ValueError("Shape not supported. Choose circle, square, ellipse, diamond, triangle.")
    return 255 * m.astype(int)</t>
  </si>
  <si>
    <t>Set the shape that you want &gt;</t>
  </si>
  <si>
    <t>#get shape from user input
my_shape = xl("shape")
# Use circle, square, ellipse, diamond, triangle 
mask = get_mask(my_shape) 
#Create the wordcloud object and define the configuration that you want
wordcloud_with_mask = WordCloud(width=800, height=400,
                      background_color="white",
                      max_words=150,
                      colormap="viridis",
                      stopwords=custom_stopwords,
                      mask=mask)
wordcloud_with_mask.generate(combine_comments)
plt.figure(figsize=(10,5))
plt.imshow(wordcloud_with_mask,interpolation="bilinear")
plt.axis("off")
plt.show()</t>
  </si>
  <si>
    <t>diamond</t>
  </si>
  <si>
    <t>drink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</si>
</sst>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Aptos Narrow"/>
      <family val="2"/>
      <scheme val="min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3F3F76"/>
      <name val="Aptos Narrow"/>
      <family val="2"/>
      <scheme val="minor"/>
    </font>
    <font>
      <sz val="11"/>
      <color theme="1"/>
      <name val="Consolas"/>
      <family val="3"/>
    </font>
  </fonts>
  <fills count="4">
    <fill>
      <patternFill patternType="none"/>
    </fill>
    <fill>
      <patternFill patternType="gray125"/>
    </fill>
    <fill>
      <patternFill patternType="solid">
        <fgColor rgb="FFFFCC99"/>
      </patternFill>
    </fill>
    <fill>
      <patternFill patternType="solid">
        <fgColor theme="2"/>
        <bgColor indexed="64"/>
      </patternFill>
    </fill>
  </fills>
  <borders count="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s>
  <cellStyleXfs count="6">
    <xf numFmtId="0" fontId="0" fillId="0" borderId="0"/>
    <xf numFmtId="0" fontId="2" fillId="0" borderId="1" applyNumberFormat="0" applyFill="0" applyAlignment="0" applyProtection="0"/>
    <xf numFmtId="0" fontId="3" fillId="0" borderId="2" applyNumberFormat="0" applyFill="0" applyAlignment="0" applyProtection="0"/>
    <xf numFmtId="0" fontId="1" fillId="0" borderId="0"/>
    <xf numFmtId="0" fontId="4" fillId="0" borderId="3" applyNumberFormat="0" applyFill="0" applyAlignment="0" applyProtection="0"/>
    <xf numFmtId="0" fontId="5" fillId="2" borderId="4" applyNumberFormat="0" applyAlignment="0" applyProtection="0"/>
  </cellStyleXfs>
  <cellXfs count="12">
    <xf numFmtId="0" fontId="0" fillId="0" borderId="0" xfId="0"/>
    <xf numFmtId="0" fontId="1" fillId="0" borderId="0" xfId="3"/>
    <xf numFmtId="0" fontId="2" fillId="0" borderId="1" xfId="1" applyAlignment="1">
      <alignment horizontal="left"/>
    </xf>
    <xf numFmtId="0" fontId="3" fillId="0" borderId="2" xfId="2"/>
    <xf numFmtId="0" fontId="4" fillId="0" borderId="3" xfId="4"/>
    <xf numFmtId="0" fontId="6" fillId="3" borderId="0" xfId="0" applyFont="1" applyFill="1" applyAlignment="1">
      <alignment wrapText="1"/>
    </xf>
    <xf numFmtId="0" fontId="6" fillId="3" borderId="0" xfId="0" applyFont="1" applyFill="1"/>
    <xf numFmtId="0" fontId="0" fillId="0" borderId="0" xfId="0" applyAlignment="1">
      <alignment horizontal="right" indent="1"/>
    </xf>
    <xf numFmtId="0" fontId="5" fillId="2" borderId="4" xfId="5"/>
    <xf numFmtId="0" fontId="0" fillId="0" borderId="0" xfId="3" applyFont="1"/>
    <xf numFmtId="0" fontId="1" fillId="0" borderId="0" xfId="3" applyAlignment="1">
      <alignment horizontal="left"/>
    </xf>
    <xf numFmtId="0" fontId="2" fillId="0" borderId="1" xfId="1" applyAlignment="1">
      <alignment horizontal="left"/>
    </xf>
  </cellXfs>
  <cellStyles count="6">
    <cellStyle name="Heading 1" xfId="1" builtinId="16"/>
    <cellStyle name="Heading 2" xfId="2" builtinId="17"/>
    <cellStyle name="Heading 3" xfId="4" builtinId="18"/>
    <cellStyle name="Input" xfId="5" builtinId="20"/>
    <cellStyle name="Normal" xfId="0" builtinId="0"/>
    <cellStyle name="Normal 2" xfId="3" xr:uid="{544605C5-C495-45DB-A705-F92F369FC0B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13" Type="http://schemas.microsoft.com/office/2017/06/relationships/rdSupportingPropertyBagStructure" Target="richData/rdsupportingpropertybagstructure.xml"/><Relationship Id="rId3" Type="http://schemas.microsoft.com/office/2007/relationships/slicerCache" Target="slicerCaches/slicerCache1.xml"/><Relationship Id="rId7" Type="http://schemas.openxmlformats.org/officeDocument/2006/relationships/sheetMetadata" Target="metadata.xml"/><Relationship Id="rId12" Type="http://schemas.microsoft.com/office/2017/06/relationships/richStyles" Target="richData/richStyles.xml"/><Relationship Id="rId17" Type="http://schemas.microsoft.com/office/2023/09/relationships/Python" Target="python.xml"/><Relationship Id="rId2" Type="http://schemas.openxmlformats.org/officeDocument/2006/relationships/externalLink" Target="externalLinks/externalLink1.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Array" Target="richData/rdarray.xml"/><Relationship Id="rId5" Type="http://schemas.openxmlformats.org/officeDocument/2006/relationships/styles" Target="styles.xml"/><Relationship Id="rId15" Type="http://schemas.microsoft.com/office/2017/06/relationships/rdRichValueTypes" Target="richData/rdRichValueTyp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 Id="rId14" Type="http://schemas.microsoft.com/office/2017/06/relationships/rdSupportingPropertyBag" Target="richData/rdsupportingpropertybag.xml"/></Relationships>
</file>

<file path=xl/drawings/_rels/drawing1.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228600</xdr:colOff>
      <xdr:row>16</xdr:row>
      <xdr:rowOff>56728</xdr:rowOff>
    </xdr:from>
    <xdr:to>
      <xdr:col>9</xdr:col>
      <xdr:colOff>885825</xdr:colOff>
      <xdr:row>29</xdr:row>
      <xdr:rowOff>57150</xdr:rowOff>
    </xdr:to>
    <xdr:pic>
      <xdr:nvPicPr>
        <xdr:cNvPr id="3" name="Picture 2">
          <a:extLst>
            <a:ext uri="{FF2B5EF4-FFF2-40B4-BE49-F238E27FC236}">
              <a16:creationId xmlns:a16="http://schemas.microsoft.com/office/drawing/2014/main" id="{6C757297-25B4-4F31-8425-98292736577B}"/>
            </a:ext>
          </a:extLst>
        </xdr:cNvPr>
        <xdr:cNvPicPr>
          <a:picLocks noChangeAspect="1"/>
          <a:extLst>
            <a:ext uri="{53484399-7A02-498B-ADA4-41CD10E50FAC}">
              <aif:imageFormula xmlns:aif="http://schemas.microsoft.com/office/drawing/2022/imageformula" formula="Wordcloud!C69"/>
            </a:ext>
          </a:extLst>
        </xdr:cNvPicPr>
      </xdr:nvPicPr>
      <xdr:blipFill>
        <a:blip xmlns:r="http://schemas.openxmlformats.org/officeDocument/2006/relationships" r:embed="rId1"/>
        <a:stretch>
          <a:fillRect/>
        </a:stretch>
      </xdr:blipFill>
      <xdr:spPr>
        <a:xfrm>
          <a:off x="9991725" y="3228553"/>
          <a:ext cx="4924425" cy="2524547"/>
        </a:xfrm>
        <a:prstGeom prst="rect">
          <a:avLst/>
        </a:prstGeom>
      </xdr:spPr>
    </xdr:pic>
    <xdr:clientData/>
  </xdr:twoCellAnchor>
  <xdr:twoCellAnchor editAs="oneCell">
    <xdr:from>
      <xdr:col>4</xdr:col>
      <xdr:colOff>762000</xdr:colOff>
      <xdr:row>29</xdr:row>
      <xdr:rowOff>133350</xdr:rowOff>
    </xdr:from>
    <xdr:to>
      <xdr:col>9</xdr:col>
      <xdr:colOff>352425</xdr:colOff>
      <xdr:row>49</xdr:row>
      <xdr:rowOff>180975</xdr:rowOff>
    </xdr:to>
    <xdr:pic>
      <xdr:nvPicPr>
        <xdr:cNvPr id="5" name="Picture 4">
          <a:extLst>
            <a:ext uri="{FF2B5EF4-FFF2-40B4-BE49-F238E27FC236}">
              <a16:creationId xmlns:a16="http://schemas.microsoft.com/office/drawing/2014/main" id="{AE7F4930-F15A-0CD5-2033-2DE8571D1404}"/>
            </a:ext>
          </a:extLst>
        </xdr:cNvPr>
        <xdr:cNvPicPr>
          <a:picLocks noChangeAspect="1"/>
          <a:extLst>
            <a:ext uri="{53484399-7A02-498B-ADA4-41CD10E50FAC}">
              <aif:imageFormula xmlns:aif="http://schemas.microsoft.com/office/drawing/2022/imageformula" formula="Wordcloud!C82"/>
            </a:ext>
          </a:extLst>
        </xdr:cNvPicPr>
      </xdr:nvPicPr>
      <xdr:blipFill>
        <a:blip xmlns:r="http://schemas.openxmlformats.org/officeDocument/2006/relationships" r:embed="rId2"/>
        <a:stretch>
          <a:fillRect/>
        </a:stretch>
      </xdr:blipFill>
      <xdr:spPr>
        <a:xfrm>
          <a:off x="10525125" y="5829300"/>
          <a:ext cx="3857625" cy="3857625"/>
        </a:xfrm>
        <a:prstGeom prst="rect">
          <a:avLst/>
        </a:prstGeom>
      </xdr:spPr>
    </xdr:pic>
    <xdr:clientData/>
  </xdr:twoCellAnchor>
  <xdr:twoCellAnchor editAs="oneCell">
    <xdr:from>
      <xdr:col>4</xdr:col>
      <xdr:colOff>247650</xdr:colOff>
      <xdr:row>75</xdr:row>
      <xdr:rowOff>0</xdr:rowOff>
    </xdr:from>
    <xdr:to>
      <xdr:col>8</xdr:col>
      <xdr:colOff>447675</xdr:colOff>
      <xdr:row>95</xdr:row>
      <xdr:rowOff>47625</xdr:rowOff>
    </xdr:to>
    <xdr:pic>
      <xdr:nvPicPr>
        <xdr:cNvPr id="6" name="Picture 5">
          <a:extLst>
            <a:ext uri="{FF2B5EF4-FFF2-40B4-BE49-F238E27FC236}">
              <a16:creationId xmlns:a16="http://schemas.microsoft.com/office/drawing/2014/main" id="{464966B6-EE97-481A-18D7-5B6FCA2C5646}"/>
            </a:ext>
          </a:extLst>
        </xdr:cNvPr>
        <xdr:cNvPicPr>
          <a:picLocks noChangeAspect="1"/>
          <a:extLst>
            <a:ext uri="{53484399-7A02-498B-ADA4-41CD10E50FAC}">
              <aif:imageFormula xmlns:aif="http://schemas.microsoft.com/office/drawing/2022/imageformula" formula="Wordcloud!C82"/>
            </a:ext>
          </a:extLst>
        </xdr:cNvPicPr>
      </xdr:nvPicPr>
      <xdr:blipFill>
        <a:blip xmlns:r="http://schemas.openxmlformats.org/officeDocument/2006/relationships" r:embed="rId2"/>
        <a:stretch>
          <a:fillRect/>
        </a:stretch>
      </xdr:blipFill>
      <xdr:spPr>
        <a:xfrm>
          <a:off x="10010775" y="23707725"/>
          <a:ext cx="3857625" cy="3857625"/>
        </a:xfrm>
        <a:prstGeom prst="rect">
          <a:avLst/>
        </a:prstGeom>
      </xdr:spPr>
    </xdr:pic>
    <xdr:clientData/>
  </xdr:twoCellAnchor>
  <xdr:twoCellAnchor editAs="absolute">
    <xdr:from>
      <xdr:col>2</xdr:col>
      <xdr:colOff>4752975</xdr:colOff>
      <xdr:row>8</xdr:row>
      <xdr:rowOff>171450</xdr:rowOff>
    </xdr:from>
    <xdr:to>
      <xdr:col>4</xdr:col>
      <xdr:colOff>28575</xdr:colOff>
      <xdr:row>14</xdr:row>
      <xdr:rowOff>123825</xdr:rowOff>
    </xdr:to>
    <mc:AlternateContent xmlns:mc="http://schemas.openxmlformats.org/markup-compatibility/2006" xmlns:sle15="http://schemas.microsoft.com/office/drawing/2012/slicer">
      <mc:Choice Requires="sle15">
        <xdr:graphicFrame macro="">
          <xdr:nvGraphicFramePr>
            <xdr:cNvPr id="7" name="Gender">
              <a:extLst>
                <a:ext uri="{FF2B5EF4-FFF2-40B4-BE49-F238E27FC236}">
                  <a16:creationId xmlns:a16="http://schemas.microsoft.com/office/drawing/2014/main" id="{10DADC70-A53F-8C3A-BDC4-EEF013DB235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962900" y="2038350"/>
              <a:ext cx="1828800" cy="11049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lebr\Downloads\Python%20in%20Excel%20-%20Examples%20(1).xlsx" TargetMode="External"/><Relationship Id="rId1" Type="http://schemas.openxmlformats.org/officeDocument/2006/relationships/externalLinkPath" Target="file:///C:\Users\alebr\Downloads\Python%20in%20Excel%20-%20Examples%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ordcloud"/>
      <sheetName val="Dynamic charts"/>
      <sheetName val="Radar plots"/>
      <sheetName val="Polar Histograms"/>
      <sheetName val="Fuzzy Logic"/>
      <sheetName val="Weighting"/>
      <sheetName val="Faker"/>
      <sheetName val="Synthetic data"/>
      <sheetName val="Pair plot"/>
      <sheetName val="QR Code Generator"/>
    </sheetNames>
    <sheetDataSet>
      <sheetData sheetId="0"/>
      <sheetData sheetId="1"/>
      <sheetData sheetId="2"/>
      <sheetData sheetId="3"/>
      <sheetData sheetId="4">
        <row r="35">
          <cell r="C35">
            <v>70</v>
          </cell>
        </row>
      </sheetData>
      <sheetData sheetId="5"/>
      <sheetData sheetId="6"/>
      <sheetData sheetId="7"/>
      <sheetData sheetId="8"/>
      <sheetData sheetId="9"/>
    </sheetDataSet>
  </externalBook>
</externalLink>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5">
  <a r="3">
    <v t="s">coffee</v>
    <v t="s">make</v>
    <v t="s">drink</v>
  </a>
  <a r="11">
    <v t="s">Absolutely love this coffee shop! The espresso is rich and smooth, and the ambiance is perfect for working or relaxing.</v>
    <v t="s">The baristas are incredibly friendly and knowledgeable—they make the best flat white in town!</v>
    <v t="s">A cozy little gem with fantastic pastries and the most aromatic coffee I've had in ages.</v>
    <v t="s">I keep coming back for their pour-over coffee—so well-balanced and flavorful!</v>
    <v t="s">The decor is stylish, the seats are comfortable, and the music is just the right volume.</v>
    <v t="s">...</v>
    <v t="s">Such a warm and inviting space! The rustic design and soft lighting make it so cozy.</v>
    <v t="s">Their mocha is the perfect blend of rich chocolate and bold espresso—my new favorite treat!</v>
    <v t="s">Friendly service, delicious drinks, and a laid-back atmosphere. What more could you ask for?</v>
    <v t="s">Tried their espresso flight—such a fun way to experience different roasts and flavors!</v>
    <v t="s">A true coffee lover's paradise. Every sip is pure perfection!</v>
  </a>
  <a r="11">
    <v t="s">such</v>
    <v t="s">with</v>
    <v t="s">was</v>
    <v t="s">until</v>
    <v t="s">wouldn't</v>
    <v t="s">...</v>
    <v t="s">how</v>
    <v t="s">can</v>
    <v t="s">however</v>
    <v t="s">he'd</v>
    <v t="s">at</v>
  </a>
  <a r="2">
    <v>790</v>
    <v>405</v>
  </a>
  <a r="2">
    <v>405</v>
    <v>405</v>
  </a>
</arrayData>
</file>

<file path=xl/richData/rdrichvalue.xml><?xml version="1.0" encoding="utf-8"?>
<rvData xmlns="http://schemas.microsoft.com/office/spreadsheetml/2017/richdata" count="22">
  <rv s="0">
    <v>0</v>
    <v>5</v>
  </rv>
  <rv s="1">
    <fb>0</fb>
    <v>0</v>
  </rv>
  <rv s="2">
    <fb>0</fb>
    <v>&lt;class 'NoneType'&gt;</v>
    <v>NoneType</v>
    <v>None</v>
    <v>1</v>
    <v>1</v>
  </rv>
  <rv s="3">
    <v>0</v>
  </rv>
  <rv s="4">
    <v>list</v>
    <v>3</v>
    <v>3</v>
  </rv>
  <rv s="2">
    <v>&lt;class 'list'&gt;</v>
    <v>list</v>
    <v>['coffee', 'make', 'drink']</v>
    <v>4</v>
    <v>1</v>
  </rv>
  <rv s="3">
    <v>1</v>
  </rv>
  <rv s="4">
    <v>list</v>
    <v>5</v>
    <v>6</v>
  </rv>
  <rv s="2">
    <v>&lt;class 'list'&gt;</v>
    <v>list</v>
    <v>['Absolutely love this coffee shop! The espresso is rich and smooth, and the ambiance is perfect for working or relaxing.', 'The baristas are incredibly friendly and knowledgeable—they make the best flat white in town!', "A cozy little gem with fantast...</v>
    <v>7</v>
    <v>1</v>
  </rv>
  <rv s="3">
    <v>2</v>
  </rv>
  <rv s="4">
    <v>set</v>
    <v>7</v>
    <v>9</v>
  </rv>
  <rv s="2">
    <v>&lt;class 'set'&gt;</v>
    <v>set</v>
    <v>{'such', 'with', 'was', 'until', "wouldn't", 'have', 'before', "we'll", 'do', 'for', "you'd", 'has', 'their', 'themselves', 'yours', 'up', 'that', 'else', 'more', 'own', 'out', 'then', 'is', 'between', 'her', 'while', 'but', 'through', "she's", 'since'...</v>
    <v>10</v>
    <v>1</v>
  </rv>
  <rv s="5">
    <fb t="s">Absolutely love this coffee shop! The espresso is rich and smooth, and the ambiance is perfect for working or relaxing. The baristas are incredibly friendly and knowledgeable—they make the best flat white in town! A cozy little gem with fantastic pastries and the most aromatic coffee I've had in ages. I keep coming back for their pour-over coffee—so well-balanced and flavorful! The decor is stylish, the seats are comfortable, and the music is just the right volume. Their homemade syrups add such a unique twist to classic drinks—try the vanilla bean latte! Fast service, great coffee, and an overall welcoming vibe. A must-visit! A bit pricey, but the quality of the coffee and the experience make it worth every penny. This place is my go-to for a quiet morning coffee before work. Always consistent and delicious! Tried their cold brew, and it was phenomenal—strong, smooth, and not bitter at all. Great selection of alternative milks, making it super vegan-friendly. The latte art here is next-level. Almost too pretty to drink… but I do, and it’s always perfect! The staff remembers my name and order—feels like my second home! Their seasonal specials are always creative and delicious—I wish they kept them year-round! Love the community feel here. Great place to meet friends or even network with locals. I appreciate that they use ethically sourced beans. Makes me enjoy my coffee even more! Super fast WiFi, plenty of plugs, and comfortable seating make it a great spot to work remotely. The outdoor seating is a huge plus, especially on a sunny day! The croissants are buttery and flaky—pairs perfectly with their cappuccino! Sometimes the wait can be long, but it's worth it for the quality and care they put into each drink. Such a warm and inviting space! The rustic design and soft lighting make it so cozy. Their mocha is the perfect blend of rich chocolate and bold espresso—my new favorite treat! Friendly service, delicious drinks, and a laid-back atmosphere. What more could you ask for? Tried their espresso flight—such a fun way to experience different roasts and flavors! A true coffee lover's paradise. Every sip is pure perfection!</fb>
    <v>&lt;class 'str'&gt;</v>
    <v>str</v>
    <v>Absolutely love this coffee shop! The espresso is rich and smooth, and the ambiance is perfect for working or relaxing. The baristas are incredibly friendly and knowledgeable—they make the best flat white in town! A cozy little gem with fantastic pastr...</v>
    <v>Absolutely love this coffee shop! The espresso is rich and smooth, and the ambiance is perfect for working or relaxing. The baristas are incredibly friendly and knowledgeable—they make the best flat white in town! A cozy little gem with fantastic pastries and the most aromatic coffee I've had in ages. I keep coming back for their pour-over coffee—so well-balanced and flavorful! The decor is stylish, the seats are comfortable, and the music is just the right volume. Their homemade syrups add such a unique twist to classic drinks—try the vanilla bean latte! Fast service, great coffee, and an overall welcoming vibe. A must-visit! A bit pricey, but the quality of the coffee and the experience make it worth every penny. This place is my go-to for a quiet morning coffee before work. Always consistent and delicious! Tried their cold brew, and it was phenomenal—strong, smooth, and not bitter at all. Great selection of alternative milks, making it super vegan-friendly. The latte art here is next-level. Almost too pretty to drink… but I do, and it’s always perfect! The staff remembers my name and order—feels like my second home! Their seasonal specials are always creative and delicious—I wish they kept them year-round! Love the community feel here. Great place to meet friends or even network with locals. I appreciate that they use ethically sourced beans. Makes me enjoy my coffee even more! Super fast WiFi, plenty of plugs, and comfortable seating make it a great spot to work remotely. The outdoor seating is a huge plus, especially on a sunny day! The croissants are buttery and flaky—pairs perfectly with their cappuccino! Sometimes the wait can be long, but it's worth it for the quality and care they put into each drink. Such a warm and inviting space! The rustic design and soft lighting make it so cozy. Their mocha is the perfect blend of rich chocolate and bold espresso—my new favorite treat! Friendly service, delicious drinks, and a laid-back atmosphere. What more could you ask for? Tried their espresso flight—such a fun way to experience different roasts and flavors! A true coffee lover's paradise. Every sip is pure perfection!</v>
    <v>1</v>
  </rv>
  <rv s="6">
    <v>&lt;class 'wordcloud.wordcloud.WordCloud'&gt;</v>
    <v>WordCloud</v>
    <v>&lt;wordcloud.wordcloud.WordCloud object at 0x7f628d0d8aa0&gt;</v>
    <v>1</v>
  </rv>
  <rv s="0">
    <v>1</v>
    <v>9</v>
  </rv>
  <rv s="3">
    <v>3</v>
  </rv>
  <rv s="7">
    <v>Image</v>
    <v>8</v>
    <v>14</v>
    <v>15</v>
  </rv>
  <rv s="2">
    <v>&lt;class 'PIL.PngImagePlugin.PngImageFile'&gt;</v>
    <v>PngImageFile</v>
    <v>&lt;PIL.PngImagePlugin.PngImageFile image mode=RGBA size=790x405 at 0x7F628D0D4770&gt;</v>
    <v>16</v>
    <v>1</v>
  </rv>
  <rv s="0">
    <v>2</v>
    <v>9</v>
  </rv>
  <rv s="3">
    <v>4</v>
  </rv>
  <rv s="7">
    <v>Image</v>
    <v>8</v>
    <v>18</v>
    <v>19</v>
  </rv>
  <rv s="2">
    <v>&lt;class 'PIL.PngImagePlugin.PngImageFile'&gt;</v>
    <v>PngImageFile</v>
    <v>&lt;PIL.PngImagePlugin.PngImageFile image mode=RGBA size=405x405 at 0x7F628C4A4710&gt;</v>
    <v>20</v>
    <v>1</v>
  </rv>
</rvData>
</file>

<file path=xl/richData/rdrichvaluestructure.xml><?xml version="1.0" encoding="utf-8"?>
<rvStructures xmlns="http://schemas.microsoft.com/office/spreadsheetml/2017/richdata" count="8">
  <s t="_localImage">
    <k n="_rvRel:LocalImageIdentifier" t="i"/>
    <k n="CalcOrigin" t="i"/>
  </s>
  <s t="_formattednumber">
    <k n="_Format" t="spb"/>
  </s>
  <s t="_python">
    <k n="Python_type" t="s"/>
    <k n="Python_typeName" t="s"/>
    <k n="Python_str" t="s"/>
    <k n="preview" t="r"/>
    <k n="_Provider" t="spb"/>
  </s>
  <s t="_array">
    <k n="array" t="a"/>
  </s>
  <s t="_entity">
    <k n="_DisplayString" t="s"/>
    <k n="_ViewInfo" t="spb"/>
    <k n="arrayPreview" t="r"/>
  </s>
  <s t="_python">
    <k n="Python_type" t="s"/>
    <k n="Python_typeName" t="s"/>
    <k n="Python_str" t="s"/>
    <k n="basicValue" t="s"/>
    <k n="_Provider" t="spb"/>
  </s>
  <s t="_python">
    <k n="Python_type" t="s"/>
    <k n="Python_typeName" t="s"/>
    <k n="Python_str" t="s"/>
    <k n="_Provider" t="spb"/>
  </s>
  <s t="_entity">
    <k n="_DisplayString" t="s"/>
    <k n="_Format" t="spb"/>
    <k n="image" t="r"/>
    <k n="size" t="r"/>
  </s>
</rvStructures>
</file>

<file path=xl/richData/rdsupportingpropertybag.xml><?xml version="1.0" encoding="utf-8"?>
<supportingPropertyBags xmlns="http://schemas.microsoft.com/office/spreadsheetml/2017/richdata2">
  <spbData count="9">
    <spb s="0">
      <v>1</v>
    </spb>
    <spb s="1">
      <v>https://www.anaconda.com/excel</v>
      <v>https://res.cdn.office.net/officepysvc/prod-service/anacondalogo.png</v>
      <v>Python provided by Anaconda</v>
    </spb>
    <spb s="2">
      <v>3</v>
      <v>1</v>
      <v>list</v>
      <v>arrayPreview</v>
    </spb>
    <spb s="3">
      <v>2</v>
    </spb>
    <spb s="2">
      <v>25</v>
      <v>1</v>
      <v>list</v>
      <v>arrayPreview</v>
    </spb>
    <spb s="3">
      <v>4</v>
    </spb>
    <spb s="2">
      <v>195</v>
      <v>1</v>
      <v>set</v>
      <v>arrayPreview</v>
    </spb>
    <spb s="3">
      <v>6</v>
    </spb>
    <spb s="4">
      <v>2</v>
    </spb>
  </spbData>
</supportingPropertyBags>
</file>

<file path=xl/richData/rdsupportingpropertybagstructure.xml><?xml version="1.0" encoding="utf-8"?>
<spbStructures xmlns="http://schemas.microsoft.com/office/spreadsheetml/2017/richdata2" count="5">
  <s>
    <k n="_Self" t="i"/>
  </s>
  <s>
    <k n="link" t="s"/>
    <k n="logo" t="s"/>
    <k n="name" t="s"/>
  </s>
  <s>
    <k n="drw" t="i"/>
    <k n="dcol" t="i"/>
    <k n="name" t="s"/>
    <k n="array" t="s"/>
  </s>
  <s>
    <k n="ArrayCardInfo" t="spb"/>
  </s>
  <s>
    <k n="imag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1">
    <x:dxf>
      <x:numFmt numFmtId="0" formatCode="General"/>
    </x:dxf>
  </dxfs>
  <richProperties>
    <rPr n="NumberFormat" t="s"/>
    <rPr n="IsHeroField" t="b"/>
  </richProperties>
  <richStyles>
    <rSty dxfid="0">
      <rpv i="0">0;-0;"None"</rpv>
    </rSty>
    <rSty>
      <rpv i="1">1</rpv>
    </rSty>
  </richStyles>
</richStyleSheet>
</file>

<file path=xl/richData/richValueRel.xml><?xml version="1.0" encoding="utf-8"?>
<richValueRels xmlns="http://schemas.microsoft.com/office/spreadsheetml/2022/richvaluerel" xmlns:r="http://schemas.openxmlformats.org/officeDocument/2006/relationships">
  <rel r:id="rId1"/>
  <rel r:id="rId2"/>
  <rel r:id="rId3"/>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8FF2BD6-5ED1-4F99-9C71-8B8DDC208648}" sourceName="Gender">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8930071-F166-4FAB-A632-29EC52A08326}" cache="Slicer_Gender" caption="Gende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5FAC0B-96F7-4361-93A6-53CA9A528D7F}" name="WordcloudCommentsTable" displayName="WordcloudCommentsTable" ref="B18:D43" totalsRowShown="0">
  <autoFilter ref="B18:D43" xr:uid="{F7EF4B16-38B7-48B8-A685-D4E41FBFC5F5}"/>
  <tableColumns count="3">
    <tableColumn id="1" xr3:uid="{CC6AFFB4-02CB-453C-844B-BDFE41681C53}" name="Respondent"/>
    <tableColumn id="2" xr3:uid="{758E5F9B-6A26-4EC0-86C6-334D4B54557E}" name="Comments"/>
    <tableColumn id="3" xr3:uid="{BA48AF5D-62CB-4C6F-B30E-0B47FC997B27}" name="Gender" dataCellStyle="Normal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3972E5-B2D3-4AE2-83F3-D18783D36701}" name="WordcloudStopwordsTable" displayName="WordcloudStopwordsTable" ref="B9:B15" totalsRowShown="0">
  <autoFilter ref="B9:B15" xr:uid="{FABBE6D2-B42B-4735-BB3F-3EE716DB7A6E}"/>
  <tableColumns count="1">
    <tableColumn id="1" xr3:uid="{D9AAF3AE-809F-4A02-809A-2F12D695A8D8}" name="Stop word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5448F-7500-47B4-98C9-2D9303F17EFF}">
  <dimension ref="A2:R82"/>
  <sheetViews>
    <sheetView showGridLines="0" tabSelected="1" topLeftCell="A22" workbookViewId="0">
      <selection activeCell="B2" sqref="B2:I2"/>
    </sheetView>
  </sheetViews>
  <sheetFormatPr defaultColWidth="0" defaultRowHeight="15" x14ac:dyDescent="0.25"/>
  <cols>
    <col min="1" max="1" width="4.28515625" style="1" customWidth="1"/>
    <col min="2" max="2" width="43.85546875" style="1" customWidth="1"/>
    <col min="3" max="3" width="84.85546875" style="1" customWidth="1"/>
    <col min="4" max="4" width="13.42578125" style="1" customWidth="1"/>
    <col min="5" max="5" width="13.140625" style="1" customWidth="1"/>
    <col min="6" max="6" width="19.85546875" style="1" customWidth="1"/>
    <col min="7" max="7" width="4.140625" style="1" customWidth="1"/>
    <col min="8" max="8" width="17.7109375" style="1" customWidth="1"/>
    <col min="9" max="9" width="9.140625" style="1" customWidth="1"/>
    <col min="10" max="10" width="19.28515625" style="1" customWidth="1"/>
    <col min="11" max="18" width="0" style="1" hidden="1" customWidth="1"/>
    <col min="19" max="16384" width="9.140625" style="1" hidden="1"/>
  </cols>
  <sheetData>
    <row r="2" spans="2:9" ht="33" customHeight="1" x14ac:dyDescent="0.25">
      <c r="B2" s="10" t="e" vm="1">
        <v>#VALUE!</v>
      </c>
      <c r="C2" s="10"/>
      <c r="D2" s="10"/>
      <c r="E2" s="10"/>
      <c r="F2" s="10"/>
      <c r="G2" s="10"/>
      <c r="H2" s="10"/>
      <c r="I2" s="10"/>
    </row>
    <row r="4" spans="2:9" ht="20.25" thickBot="1" x14ac:dyDescent="0.35">
      <c r="B4" s="11" t="s">
        <v>0</v>
      </c>
      <c r="C4" s="11"/>
      <c r="D4" s="2"/>
    </row>
    <row r="5" spans="2:9" ht="15.75" thickTop="1" x14ac:dyDescent="0.25"/>
    <row r="6" spans="2:9" x14ac:dyDescent="0.25">
      <c r="B6" s="1" t="s">
        <v>1</v>
      </c>
    </row>
    <row r="8" spans="2:9" ht="18" thickBot="1" x14ac:dyDescent="0.35">
      <c r="B8" s="3" t="s">
        <v>2</v>
      </c>
    </row>
    <row r="9" spans="2:9" ht="15.75" thickTop="1" x14ac:dyDescent="0.25">
      <c r="B9" s="1" t="s">
        <v>3</v>
      </c>
    </row>
    <row r="10" spans="2:9" x14ac:dyDescent="0.25">
      <c r="B10" s="1" t="s">
        <v>4</v>
      </c>
    </row>
    <row r="11" spans="2:9" x14ac:dyDescent="0.25">
      <c r="B11" s="1" t="s">
        <v>5</v>
      </c>
    </row>
    <row r="12" spans="2:9" x14ac:dyDescent="0.25">
      <c r="B12" s="9" t="s">
        <v>57</v>
      </c>
    </row>
    <row r="17" spans="2:5" ht="18" thickBot="1" x14ac:dyDescent="0.35">
      <c r="B17" s="3" t="s">
        <v>6</v>
      </c>
      <c r="C17" s="3"/>
      <c r="D17" s="3"/>
    </row>
    <row r="18" spans="2:5" ht="15.75" thickTop="1" x14ac:dyDescent="0.25">
      <c r="B18" s="1" t="s">
        <v>7</v>
      </c>
      <c r="C18" s="1" t="s">
        <v>8</v>
      </c>
      <c r="D18" s="1" t="s">
        <v>9</v>
      </c>
    </row>
    <row r="19" spans="2:5" x14ac:dyDescent="0.25">
      <c r="B19" s="1">
        <v>1</v>
      </c>
      <c r="C19" s="1" t="s">
        <v>10</v>
      </c>
      <c r="D19" s="1" t="s">
        <v>11</v>
      </c>
      <c r="E19" s="1" t="s">
        <v>12</v>
      </c>
    </row>
    <row r="20" spans="2:5" x14ac:dyDescent="0.25">
      <c r="B20" s="1">
        <v>2</v>
      </c>
      <c r="C20" s="1" t="s">
        <v>13</v>
      </c>
      <c r="D20" s="1" t="s">
        <v>14</v>
      </c>
    </row>
    <row r="21" spans="2:5" x14ac:dyDescent="0.25">
      <c r="B21" s="1">
        <v>3</v>
      </c>
      <c r="C21" s="1" t="s">
        <v>15</v>
      </c>
      <c r="D21" s="1" t="s">
        <v>11</v>
      </c>
    </row>
    <row r="22" spans="2:5" x14ac:dyDescent="0.25">
      <c r="B22" s="1">
        <v>4</v>
      </c>
      <c r="C22" s="1" t="s">
        <v>16</v>
      </c>
      <c r="D22" s="1" t="s">
        <v>14</v>
      </c>
    </row>
    <row r="23" spans="2:5" x14ac:dyDescent="0.25">
      <c r="B23" s="1">
        <v>5</v>
      </c>
      <c r="C23" s="1" t="s">
        <v>17</v>
      </c>
      <c r="D23" s="1" t="s">
        <v>11</v>
      </c>
    </row>
    <row r="24" spans="2:5" x14ac:dyDescent="0.25">
      <c r="B24" s="1">
        <v>6</v>
      </c>
      <c r="C24" s="1" t="s">
        <v>18</v>
      </c>
      <c r="D24" s="1" t="s">
        <v>14</v>
      </c>
    </row>
    <row r="25" spans="2:5" x14ac:dyDescent="0.25">
      <c r="B25" s="1">
        <v>7</v>
      </c>
      <c r="C25" s="1" t="s">
        <v>19</v>
      </c>
      <c r="D25" s="1" t="s">
        <v>11</v>
      </c>
    </row>
    <row r="26" spans="2:5" x14ac:dyDescent="0.25">
      <c r="B26" s="1">
        <v>8</v>
      </c>
      <c r="C26" s="1" t="s">
        <v>20</v>
      </c>
      <c r="D26" s="1" t="s">
        <v>14</v>
      </c>
    </row>
    <row r="27" spans="2:5" x14ac:dyDescent="0.25">
      <c r="B27" s="1">
        <v>9</v>
      </c>
      <c r="C27" s="1" t="s">
        <v>21</v>
      </c>
      <c r="D27" s="1" t="s">
        <v>11</v>
      </c>
    </row>
    <row r="28" spans="2:5" x14ac:dyDescent="0.25">
      <c r="B28" s="1">
        <v>10</v>
      </c>
      <c r="C28" s="1" t="s">
        <v>22</v>
      </c>
      <c r="D28" s="1" t="s">
        <v>14</v>
      </c>
    </row>
    <row r="29" spans="2:5" x14ac:dyDescent="0.25">
      <c r="B29" s="1">
        <v>11</v>
      </c>
      <c r="C29" s="1" t="s">
        <v>23</v>
      </c>
      <c r="D29" s="1" t="s">
        <v>11</v>
      </c>
    </row>
    <row r="30" spans="2:5" x14ac:dyDescent="0.25">
      <c r="B30" s="1">
        <v>12</v>
      </c>
      <c r="C30" s="1" t="s">
        <v>24</v>
      </c>
      <c r="D30" s="1" t="s">
        <v>14</v>
      </c>
    </row>
    <row r="31" spans="2:5" x14ac:dyDescent="0.25">
      <c r="B31" s="1">
        <v>13</v>
      </c>
      <c r="C31" s="1" t="s">
        <v>25</v>
      </c>
      <c r="D31" s="1" t="s">
        <v>11</v>
      </c>
    </row>
    <row r="32" spans="2:5" x14ac:dyDescent="0.25">
      <c r="B32" s="1">
        <v>14</v>
      </c>
      <c r="C32" s="1" t="s">
        <v>26</v>
      </c>
      <c r="D32" s="1" t="s">
        <v>14</v>
      </c>
    </row>
    <row r="33" spans="2:4" x14ac:dyDescent="0.25">
      <c r="B33" s="1">
        <v>15</v>
      </c>
      <c r="C33" s="1" t="s">
        <v>27</v>
      </c>
      <c r="D33" s="1" t="s">
        <v>11</v>
      </c>
    </row>
    <row r="34" spans="2:4" x14ac:dyDescent="0.25">
      <c r="B34" s="1">
        <v>16</v>
      </c>
      <c r="C34" s="1" t="s">
        <v>28</v>
      </c>
      <c r="D34" s="1" t="s">
        <v>14</v>
      </c>
    </row>
    <row r="35" spans="2:4" x14ac:dyDescent="0.25">
      <c r="B35" s="1">
        <v>17</v>
      </c>
      <c r="C35" s="1" t="s">
        <v>29</v>
      </c>
      <c r="D35" s="1" t="s">
        <v>11</v>
      </c>
    </row>
    <row r="36" spans="2:4" x14ac:dyDescent="0.25">
      <c r="B36" s="1">
        <v>18</v>
      </c>
      <c r="C36" s="1" t="s">
        <v>30</v>
      </c>
      <c r="D36" s="1" t="s">
        <v>14</v>
      </c>
    </row>
    <row r="37" spans="2:4" x14ac:dyDescent="0.25">
      <c r="B37" s="1">
        <v>19</v>
      </c>
      <c r="C37" s="1" t="s">
        <v>31</v>
      </c>
      <c r="D37" s="1" t="s">
        <v>11</v>
      </c>
    </row>
    <row r="38" spans="2:4" x14ac:dyDescent="0.25">
      <c r="B38" s="1">
        <v>20</v>
      </c>
      <c r="C38" s="1" t="s">
        <v>32</v>
      </c>
      <c r="D38" s="1" t="s">
        <v>14</v>
      </c>
    </row>
    <row r="39" spans="2:4" x14ac:dyDescent="0.25">
      <c r="B39" s="1">
        <v>21</v>
      </c>
      <c r="C39" s="1" t="s">
        <v>33</v>
      </c>
      <c r="D39" s="1" t="s">
        <v>11</v>
      </c>
    </row>
    <row r="40" spans="2:4" x14ac:dyDescent="0.25">
      <c r="B40" s="1">
        <v>22</v>
      </c>
      <c r="C40" s="1" t="s">
        <v>34</v>
      </c>
      <c r="D40" s="1" t="s">
        <v>14</v>
      </c>
    </row>
    <row r="41" spans="2:4" x14ac:dyDescent="0.25">
      <c r="B41" s="1">
        <v>23</v>
      </c>
      <c r="C41" s="1" t="s">
        <v>35</v>
      </c>
      <c r="D41" s="1" t="s">
        <v>11</v>
      </c>
    </row>
    <row r="42" spans="2:4" x14ac:dyDescent="0.25">
      <c r="B42" s="1">
        <v>24</v>
      </c>
      <c r="C42" s="1" t="s">
        <v>36</v>
      </c>
      <c r="D42" s="1" t="s">
        <v>14</v>
      </c>
    </row>
    <row r="43" spans="2:4" x14ac:dyDescent="0.25">
      <c r="B43" s="1">
        <v>25</v>
      </c>
      <c r="C43" s="1" t="s">
        <v>37</v>
      </c>
      <c r="D43" s="1" t="s">
        <v>11</v>
      </c>
    </row>
    <row r="50" spans="2:3" ht="15.75" thickBot="1" x14ac:dyDescent="0.3">
      <c r="B50" s="4" t="s">
        <v>38</v>
      </c>
    </row>
    <row r="51" spans="2:3" ht="45" x14ac:dyDescent="0.25">
      <c r="B51" s="5" t="s">
        <v>39</v>
      </c>
      <c r="C51" s="5" cm="1" vm="2">
        <f t="array" ref="C51">_xlfn._xlws.PY(0,1)</f>
        <v>0</v>
      </c>
    </row>
    <row r="52" spans="2:3" x14ac:dyDescent="0.25">
      <c r="B52"/>
      <c r="C52"/>
    </row>
    <row r="53" spans="2:3" x14ac:dyDescent="0.25">
      <c r="B53"/>
      <c r="C53"/>
    </row>
    <row r="54" spans="2:3" ht="15.75" thickBot="1" x14ac:dyDescent="0.3">
      <c r="B54" s="4" t="s">
        <v>40</v>
      </c>
      <c r="C54" s="4"/>
    </row>
    <row r="55" spans="2:3" ht="120" x14ac:dyDescent="0.25">
      <c r="B55" s="5" t="s">
        <v>41</v>
      </c>
      <c r="C55" s="5" t="e" cm="1" vm="3">
        <f t="array" ref="C55">_xlfn._xlws.PY(1,1,WordcloudStopwordsTable[[#All],[Stop words]])</f>
        <v>#VALUE!</v>
      </c>
    </row>
    <row r="56" spans="2:3" x14ac:dyDescent="0.25">
      <c r="B56"/>
      <c r="C56"/>
    </row>
    <row r="57" spans="2:3" ht="135" x14ac:dyDescent="0.25">
      <c r="B57" s="5" t="s">
        <v>42</v>
      </c>
      <c r="C57" s="5" t="e" cm="1" vm="4">
        <f t="array" ref="C57">_xlfn._xlws.PY(2,1,WordcloudCommentsTable[#All])</f>
        <v>#VALUE!</v>
      </c>
    </row>
    <row r="58" spans="2:3" x14ac:dyDescent="0.25">
      <c r="B58"/>
      <c r="C58"/>
    </row>
    <row r="59" spans="2:3" ht="15.75" thickBot="1" x14ac:dyDescent="0.3">
      <c r="B59" s="4" t="s">
        <v>43</v>
      </c>
      <c r="C59" s="4"/>
    </row>
    <row r="60" spans="2:3" ht="165" x14ac:dyDescent="0.25">
      <c r="B60" s="5" t="s">
        <v>44</v>
      </c>
      <c r="C60" s="5" t="e" cm="1" vm="5">
        <f t="array" ref="C60">_xlfn._xlws.PY(3,1)</f>
        <v>#VALUE!</v>
      </c>
    </row>
    <row r="61" spans="2:3" x14ac:dyDescent="0.25">
      <c r="B61"/>
      <c r="C61"/>
    </row>
    <row r="62" spans="2:3" ht="15.75" thickBot="1" x14ac:dyDescent="0.3">
      <c r="B62" s="4" t="s">
        <v>45</v>
      </c>
      <c r="C62" s="4"/>
    </row>
    <row r="63" spans="2:3" ht="409.5" x14ac:dyDescent="0.25">
      <c r="B63" s="5" t="s">
        <v>46</v>
      </c>
      <c r="C63" s="5" t="str" cm="1" vm="6">
        <f t="array" ref="C63">_xlfn._xlws.PY(4,1)</f>
        <v>Absolutely love this coffee shop! The espresso is rich and smooth, and the ambiance is perfect for working or relaxing. The baristas are incredibly friendly and knowledgeable—they make the best flat white in town! A cozy little gem with fantastic pastries and the most aromatic coffee I've had in ages. I keep coming back for their pour-over coffee—so well-balanced and flavorful! The decor is stylish, the seats are comfortable, and the music is just the right volume. Their homemade syrups add such a unique twist to classic drinks—try the vanilla bean latte! Fast service, great coffee, and an overall welcoming vibe. A must-visit! A bit pricey, but the quality of the coffee and the experience make it worth every penny. This place is my go-to for a quiet morning coffee before work. Always consistent and delicious! Tried their cold brew, and it was phenomenal—strong, smooth, and not bitter at all. Great selection of alternative milks, making it super vegan-friendly. The latte art here is next-level. Almost too pretty to drink… but I do, and it’s always perfect! The staff remembers my name and order—feels like my second home! Their seasonal specials are always creative and delicious—I wish they kept them year-round! Love the community feel here. Great place to meet friends or even network with locals. I appreciate that they use ethically sourced beans. Makes me enjoy my coffee even more! Super fast WiFi, plenty of plugs, and comfortable seating make it a great spot to work remotely. The outdoor seating is a huge plus, especially on a sunny day! The croissants are buttery and flaky—pairs perfectly with their cappuccino! Sometimes the wait can be long, but it's worth it for the quality and care they put into each drink. Such a warm and inviting space! The rustic design and soft lighting make it so cozy. Their mocha is the perfect blend of rich chocolate and bold espresso—my new favorite treat! Friendly service, delicious drinks, and a laid-back atmosphere. What more could you ask for? Tried their espresso flight—such a fun way to experience different roasts and flavors! A true coffee lover's paradise. Every sip is pure perfection!</v>
      </c>
    </row>
    <row r="64" spans="2:3" x14ac:dyDescent="0.25">
      <c r="B64"/>
      <c r="C64"/>
    </row>
    <row r="65" spans="2:3" ht="15.75" thickBot="1" x14ac:dyDescent="0.3">
      <c r="B65" s="4" t="s">
        <v>47</v>
      </c>
      <c r="C65" s="4"/>
    </row>
    <row r="66" spans="2:3" ht="225" x14ac:dyDescent="0.25">
      <c r="B66" s="5" t="s">
        <v>48</v>
      </c>
      <c r="C66" s="5" t="e" cm="1" vm="7">
        <f t="array" ref="C66">_xlfn._xlws.PY(5,1)</f>
        <v>#VALUE!</v>
      </c>
    </row>
    <row r="67" spans="2:3" x14ac:dyDescent="0.25">
      <c r="B67"/>
      <c r="C67"/>
    </row>
    <row r="68" spans="2:3" ht="15.75" thickBot="1" x14ac:dyDescent="0.3">
      <c r="B68" s="4" t="s">
        <v>49</v>
      </c>
      <c r="C68" s="4"/>
    </row>
    <row r="69" spans="2:3" ht="75" x14ac:dyDescent="0.25">
      <c r="B69" s="5" t="s">
        <v>50</v>
      </c>
      <c r="C69" s="5" t="e" cm="1" vm="8">
        <f t="array" ref="C69">_xlfn._xlws.PY(6,1)</f>
        <v>#VALUE!</v>
      </c>
    </row>
    <row r="70" spans="2:3" x14ac:dyDescent="0.25">
      <c r="B70"/>
      <c r="C70"/>
    </row>
    <row r="71" spans="2:3" x14ac:dyDescent="0.25">
      <c r="B71"/>
      <c r="C71"/>
    </row>
    <row r="72" spans="2:3" x14ac:dyDescent="0.25">
      <c r="B72"/>
      <c r="C72"/>
    </row>
    <row r="73" spans="2:3" x14ac:dyDescent="0.25">
      <c r="B73"/>
      <c r="C73"/>
    </row>
    <row r="74" spans="2:3" ht="18" thickBot="1" x14ac:dyDescent="0.35">
      <c r="B74" s="3" t="s">
        <v>51</v>
      </c>
      <c r="C74" s="3"/>
    </row>
    <row r="75" spans="2:3" ht="15.75" thickTop="1" x14ac:dyDescent="0.25">
      <c r="B75"/>
      <c r="C75"/>
    </row>
    <row r="76" spans="2:3" x14ac:dyDescent="0.25">
      <c r="B76"/>
      <c r="C76"/>
    </row>
    <row r="77" spans="2:3" x14ac:dyDescent="0.25">
      <c r="B77" t="s">
        <v>52</v>
      </c>
      <c r="C77"/>
    </row>
    <row r="78" spans="2:3" x14ac:dyDescent="0.25">
      <c r="B78" s="6" t="s">
        <v>53</v>
      </c>
      <c r="C78" s="6" cm="1" vm="2">
        <f t="array" ref="C78">_xlfn._xlws.PY(7,1)</f>
        <v>0</v>
      </c>
    </row>
    <row r="79" spans="2:3" x14ac:dyDescent="0.25">
      <c r="B79"/>
      <c r="C79"/>
    </row>
    <row r="80" spans="2:3" x14ac:dyDescent="0.25">
      <c r="B80" s="7" t="s">
        <v>54</v>
      </c>
      <c r="C80" s="8" t="s">
        <v>56</v>
      </c>
    </row>
    <row r="81" spans="2:3" x14ac:dyDescent="0.25">
      <c r="B81"/>
      <c r="C81"/>
    </row>
    <row r="82" spans="2:3" x14ac:dyDescent="0.25">
      <c r="B82" s="6" t="s">
        <v>55</v>
      </c>
      <c r="C82" s="6" t="e" cm="1" vm="9">
        <f t="array" ref="C82">_xlfn._xlws.PY(8,1,shape)</f>
        <v>#VALUE!</v>
      </c>
    </row>
  </sheetData>
  <mergeCells count="2">
    <mergeCell ref="B2:I2"/>
    <mergeCell ref="B4:C4"/>
  </mergeCells>
  <dataValidations count="1">
    <dataValidation type="list" allowBlank="1" showInputMessage="1" showErrorMessage="1" sqref="C80" xr:uid="{D5319B6F-9558-4D4F-AC7B-9040445D8036}">
      <formula1>"circle,square,ellipse,diamond, triangle"</formula1>
    </dataValidation>
  </dataValidations>
  <pageMargins left="0.7" right="0.7" top="0.75" bottom="0.75" header="0.3" footer="0.3"/>
  <drawing r:id="rId1"/>
  <tableParts count="2">
    <tablePart r:id="rId2"/>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Wordcloud</vt:lpstr>
      <vt:lpstr>shape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Le Breuilly</dc:creator>
  <cp:lastModifiedBy>Andrew Le Breuilly</cp:lastModifiedBy>
  <dcterms:created xsi:type="dcterms:W3CDTF">2025-06-23T14:42:26Z</dcterms:created>
  <dcterms:modified xsi:type="dcterms:W3CDTF">2025-07-10T09:04:26Z</dcterms:modified>
</cp:coreProperties>
</file>